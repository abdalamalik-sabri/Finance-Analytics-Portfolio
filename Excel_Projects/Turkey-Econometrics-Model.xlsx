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61DA88A-13B1-4525-8793-820D45E64886}" xr6:coauthVersionLast="47" xr6:coauthVersionMax="47" xr10:uidLastSave="{00000000-0000-0000-0000-000000000000}"/>
  <bookViews>
    <workbookView xWindow="-120" yWindow="-120" windowWidth="20730" windowHeight="11040" xr2:uid="{C630BFF5-5DF3-47B0-945C-C9312A75909A}"/>
  </bookViews>
  <sheets>
    <sheet name="Cover" sheetId="1" r:id="rId1"/>
    <sheet name="Raw Data" sheetId="2" r:id="rId2"/>
    <sheet name="Clean Data" sheetId="3" r:id="rId3"/>
    <sheet name="Descriptive Statistics" sheetId="4" r:id="rId4"/>
    <sheet name="Correlation Matrix" sheetId="5" r:id="rId5"/>
    <sheet name="Regression Output" sheetId="6" r:id="rId6"/>
    <sheet name="White's Test" sheetId="7" r:id="rId7"/>
    <sheet name="Durbin-Watson Test" sheetId="8" r:id="rId8"/>
    <sheet name="Charts &amp; Graphs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8" l="1"/>
  <c r="I8" i="8"/>
  <c r="I7" i="8"/>
  <c r="E8" i="8"/>
  <c r="E7" i="8"/>
  <c r="F8" i="8"/>
  <c r="F7" i="8"/>
  <c r="F6" i="8"/>
  <c r="F5" i="8"/>
  <c r="D7" i="8"/>
  <c r="D6" i="8"/>
  <c r="D8" i="8"/>
  <c r="D9" i="8"/>
  <c r="D10" i="8"/>
  <c r="D11" i="8"/>
  <c r="D12" i="8"/>
  <c r="D13" i="8"/>
  <c r="E13" i="8" s="1"/>
  <c r="D14" i="8"/>
  <c r="E14" i="8" s="1"/>
  <c r="D15" i="8"/>
  <c r="D16" i="8"/>
  <c r="D17" i="8"/>
  <c r="D18" i="8"/>
  <c r="D19" i="8"/>
  <c r="E19" i="8" s="1"/>
  <c r="D20" i="8"/>
  <c r="E20" i="8" s="1"/>
  <c r="D21" i="8"/>
  <c r="E21" i="8" s="1"/>
  <c r="D22" i="8"/>
  <c r="E22" i="8" s="1"/>
  <c r="D23" i="8"/>
  <c r="D24" i="8"/>
  <c r="D25" i="8"/>
  <c r="D26" i="8"/>
  <c r="E26" i="8" s="1"/>
  <c r="D27" i="8"/>
  <c r="D28" i="8"/>
  <c r="D29" i="8"/>
  <c r="E29" i="8" s="1"/>
  <c r="D30" i="8"/>
  <c r="E30" i="8" s="1"/>
  <c r="D31" i="8"/>
  <c r="D32" i="8"/>
  <c r="D33" i="8"/>
  <c r="D34" i="8"/>
  <c r="E28" i="8"/>
  <c r="E27" i="8"/>
  <c r="E12" i="8"/>
  <c r="E11" i="8"/>
  <c r="E34" i="8"/>
  <c r="E33" i="8"/>
  <c r="E32" i="8"/>
  <c r="E31" i="8"/>
  <c r="E25" i="8"/>
  <c r="E24" i="8"/>
  <c r="E23" i="8"/>
  <c r="E18" i="8"/>
  <c r="E17" i="8"/>
  <c r="E16" i="8"/>
  <c r="E15" i="8"/>
  <c r="E10" i="8"/>
  <c r="E9" i="8"/>
  <c r="E6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C5" i="8"/>
  <c r="B5" i="8"/>
  <c r="F40" i="7"/>
  <c r="F44" i="7"/>
  <c r="F42" i="7"/>
  <c r="F41" i="7"/>
  <c r="L8" i="7" l="1"/>
  <c r="L10" i="7"/>
  <c r="L12" i="7"/>
  <c r="L14" i="7"/>
  <c r="L16" i="7"/>
  <c r="L18" i="7"/>
  <c r="L20" i="7"/>
  <c r="L22" i="7"/>
  <c r="L24" i="7"/>
  <c r="L26" i="7"/>
  <c r="L28" i="7"/>
  <c r="L30" i="7"/>
  <c r="L32" i="7"/>
  <c r="L34" i="7"/>
  <c r="M6" i="7"/>
  <c r="K13" i="7"/>
  <c r="K21" i="7"/>
  <c r="K29" i="7"/>
  <c r="H7" i="7"/>
  <c r="I8" i="7"/>
  <c r="J9" i="7"/>
  <c r="H11" i="7"/>
  <c r="I12" i="7"/>
  <c r="J13" i="7"/>
  <c r="H15" i="7"/>
  <c r="I16" i="7"/>
  <c r="J17" i="7"/>
  <c r="H19" i="7"/>
  <c r="I20" i="7"/>
  <c r="J21" i="7"/>
  <c r="H23" i="7"/>
  <c r="I24" i="7"/>
  <c r="J25" i="7"/>
  <c r="H27" i="7"/>
  <c r="I28" i="7"/>
  <c r="J29" i="7"/>
  <c r="H31" i="7"/>
  <c r="I32" i="7"/>
  <c r="J33" i="7"/>
  <c r="H35" i="7"/>
  <c r="J6" i="7"/>
  <c r="E7" i="7"/>
  <c r="K7" i="7" s="1"/>
  <c r="F7" i="7"/>
  <c r="I7" i="7" s="1"/>
  <c r="G7" i="7"/>
  <c r="J7" i="7" s="1"/>
  <c r="E8" i="7"/>
  <c r="K8" i="7" s="1"/>
  <c r="F8" i="7"/>
  <c r="M8" i="7" s="1"/>
  <c r="G8" i="7"/>
  <c r="J8" i="7" s="1"/>
  <c r="E9" i="7"/>
  <c r="L9" i="7" s="1"/>
  <c r="F9" i="7"/>
  <c r="M9" i="7" s="1"/>
  <c r="G9" i="7"/>
  <c r="E10" i="7"/>
  <c r="H10" i="7" s="1"/>
  <c r="F10" i="7"/>
  <c r="I10" i="7" s="1"/>
  <c r="G10" i="7"/>
  <c r="J10" i="7" s="1"/>
  <c r="E11" i="7"/>
  <c r="L11" i="7" s="1"/>
  <c r="F11" i="7"/>
  <c r="I11" i="7" s="1"/>
  <c r="G11" i="7"/>
  <c r="J11" i="7" s="1"/>
  <c r="E12" i="7"/>
  <c r="K12" i="7" s="1"/>
  <c r="F12" i="7"/>
  <c r="M12" i="7" s="1"/>
  <c r="G12" i="7"/>
  <c r="J12" i="7" s="1"/>
  <c r="E13" i="7"/>
  <c r="L13" i="7" s="1"/>
  <c r="F13" i="7"/>
  <c r="M13" i="7" s="1"/>
  <c r="G13" i="7"/>
  <c r="E14" i="7"/>
  <c r="K14" i="7" s="1"/>
  <c r="F14" i="7"/>
  <c r="M14" i="7" s="1"/>
  <c r="G14" i="7"/>
  <c r="J14" i="7" s="1"/>
  <c r="E15" i="7"/>
  <c r="K15" i="7" s="1"/>
  <c r="F15" i="7"/>
  <c r="I15" i="7" s="1"/>
  <c r="G15" i="7"/>
  <c r="J15" i="7" s="1"/>
  <c r="E16" i="7"/>
  <c r="K16" i="7" s="1"/>
  <c r="F16" i="7"/>
  <c r="M16" i="7" s="1"/>
  <c r="G16" i="7"/>
  <c r="J16" i="7" s="1"/>
  <c r="E17" i="7"/>
  <c r="L17" i="7" s="1"/>
  <c r="F17" i="7"/>
  <c r="M17" i="7" s="1"/>
  <c r="G17" i="7"/>
  <c r="E18" i="7"/>
  <c r="H18" i="7" s="1"/>
  <c r="F18" i="7"/>
  <c r="I18" i="7" s="1"/>
  <c r="G18" i="7"/>
  <c r="J18" i="7" s="1"/>
  <c r="E19" i="7"/>
  <c r="L19" i="7" s="1"/>
  <c r="F19" i="7"/>
  <c r="I19" i="7" s="1"/>
  <c r="G19" i="7"/>
  <c r="J19" i="7" s="1"/>
  <c r="E20" i="7"/>
  <c r="K20" i="7" s="1"/>
  <c r="F20" i="7"/>
  <c r="M20" i="7" s="1"/>
  <c r="G20" i="7"/>
  <c r="J20" i="7" s="1"/>
  <c r="E21" i="7"/>
  <c r="L21" i="7" s="1"/>
  <c r="F21" i="7"/>
  <c r="M21" i="7" s="1"/>
  <c r="G21" i="7"/>
  <c r="E22" i="7"/>
  <c r="K22" i="7" s="1"/>
  <c r="F22" i="7"/>
  <c r="M22" i="7" s="1"/>
  <c r="G22" i="7"/>
  <c r="J22" i="7" s="1"/>
  <c r="E23" i="7"/>
  <c r="K23" i="7" s="1"/>
  <c r="F23" i="7"/>
  <c r="I23" i="7" s="1"/>
  <c r="G23" i="7"/>
  <c r="J23" i="7" s="1"/>
  <c r="E24" i="7"/>
  <c r="K24" i="7" s="1"/>
  <c r="F24" i="7"/>
  <c r="M24" i="7" s="1"/>
  <c r="G24" i="7"/>
  <c r="J24" i="7" s="1"/>
  <c r="E25" i="7"/>
  <c r="L25" i="7" s="1"/>
  <c r="F25" i="7"/>
  <c r="M25" i="7" s="1"/>
  <c r="G25" i="7"/>
  <c r="E26" i="7"/>
  <c r="H26" i="7" s="1"/>
  <c r="F26" i="7"/>
  <c r="I26" i="7" s="1"/>
  <c r="G26" i="7"/>
  <c r="J26" i="7" s="1"/>
  <c r="E27" i="7"/>
  <c r="L27" i="7" s="1"/>
  <c r="F27" i="7"/>
  <c r="I27" i="7" s="1"/>
  <c r="G27" i="7"/>
  <c r="J27" i="7" s="1"/>
  <c r="E28" i="7"/>
  <c r="K28" i="7" s="1"/>
  <c r="F28" i="7"/>
  <c r="M28" i="7" s="1"/>
  <c r="G28" i="7"/>
  <c r="J28" i="7" s="1"/>
  <c r="E29" i="7"/>
  <c r="L29" i="7" s="1"/>
  <c r="F29" i="7"/>
  <c r="M29" i="7" s="1"/>
  <c r="G29" i="7"/>
  <c r="E30" i="7"/>
  <c r="K30" i="7" s="1"/>
  <c r="F30" i="7"/>
  <c r="M30" i="7" s="1"/>
  <c r="G30" i="7"/>
  <c r="J30" i="7" s="1"/>
  <c r="E31" i="7"/>
  <c r="K31" i="7" s="1"/>
  <c r="F31" i="7"/>
  <c r="I31" i="7" s="1"/>
  <c r="G31" i="7"/>
  <c r="J31" i="7" s="1"/>
  <c r="E32" i="7"/>
  <c r="K32" i="7" s="1"/>
  <c r="F32" i="7"/>
  <c r="M32" i="7" s="1"/>
  <c r="G32" i="7"/>
  <c r="J32" i="7" s="1"/>
  <c r="E33" i="7"/>
  <c r="L33" i="7" s="1"/>
  <c r="F33" i="7"/>
  <c r="M33" i="7" s="1"/>
  <c r="G33" i="7"/>
  <c r="E34" i="7"/>
  <c r="H34" i="7" s="1"/>
  <c r="F34" i="7"/>
  <c r="I34" i="7" s="1"/>
  <c r="G34" i="7"/>
  <c r="J34" i="7" s="1"/>
  <c r="E35" i="7"/>
  <c r="L35" i="7" s="1"/>
  <c r="F35" i="7"/>
  <c r="I35" i="7" s="1"/>
  <c r="G35" i="7"/>
  <c r="J35" i="7" s="1"/>
  <c r="F6" i="7"/>
  <c r="I6" i="7" s="1"/>
  <c r="G6" i="7"/>
  <c r="E6" i="7"/>
  <c r="L6" i="7" s="1"/>
  <c r="D7" i="7"/>
  <c r="D11" i="7"/>
  <c r="D15" i="7"/>
  <c r="D19" i="7"/>
  <c r="D23" i="7"/>
  <c r="D27" i="7"/>
  <c r="D31" i="7"/>
  <c r="D35" i="7"/>
  <c r="C7" i="7"/>
  <c r="C8" i="7"/>
  <c r="D8" i="7" s="1"/>
  <c r="C9" i="7"/>
  <c r="D9" i="7" s="1"/>
  <c r="C10" i="7"/>
  <c r="D10" i="7" s="1"/>
  <c r="C11" i="7"/>
  <c r="C12" i="7"/>
  <c r="D12" i="7" s="1"/>
  <c r="C13" i="7"/>
  <c r="D13" i="7" s="1"/>
  <c r="C14" i="7"/>
  <c r="D14" i="7" s="1"/>
  <c r="C15" i="7"/>
  <c r="C16" i="7"/>
  <c r="D16" i="7" s="1"/>
  <c r="C17" i="7"/>
  <c r="D17" i="7" s="1"/>
  <c r="C18" i="7"/>
  <c r="D18" i="7" s="1"/>
  <c r="C19" i="7"/>
  <c r="C20" i="7"/>
  <c r="D20" i="7" s="1"/>
  <c r="C21" i="7"/>
  <c r="D21" i="7" s="1"/>
  <c r="C22" i="7"/>
  <c r="D22" i="7" s="1"/>
  <c r="C23" i="7"/>
  <c r="C24" i="7"/>
  <c r="D24" i="7" s="1"/>
  <c r="C25" i="7"/>
  <c r="D25" i="7" s="1"/>
  <c r="C26" i="7"/>
  <c r="D26" i="7" s="1"/>
  <c r="C27" i="7"/>
  <c r="C28" i="7"/>
  <c r="D28" i="7" s="1"/>
  <c r="C29" i="7"/>
  <c r="D29" i="7" s="1"/>
  <c r="C30" i="7"/>
  <c r="D30" i="7" s="1"/>
  <c r="C31" i="7"/>
  <c r="C32" i="7"/>
  <c r="D32" i="7" s="1"/>
  <c r="C33" i="7"/>
  <c r="D33" i="7" s="1"/>
  <c r="C34" i="7"/>
  <c r="D34" i="7" s="1"/>
  <c r="C35" i="7"/>
  <c r="C6" i="7"/>
  <c r="D6" i="7" s="1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6" i="7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I33" i="7" l="1"/>
  <c r="H28" i="7"/>
  <c r="I25" i="7"/>
  <c r="H20" i="7"/>
  <c r="I17" i="7"/>
  <c r="H12" i="7"/>
  <c r="I9" i="7"/>
  <c r="K6" i="7"/>
  <c r="M35" i="7"/>
  <c r="M31" i="7"/>
  <c r="M27" i="7"/>
  <c r="M23" i="7"/>
  <c r="M19" i="7"/>
  <c r="M15" i="7"/>
  <c r="M11" i="7"/>
  <c r="M7" i="7"/>
  <c r="H33" i="7"/>
  <c r="I30" i="7"/>
  <c r="H25" i="7"/>
  <c r="I22" i="7"/>
  <c r="H17" i="7"/>
  <c r="I14" i="7"/>
  <c r="H9" i="7"/>
  <c r="K35" i="7"/>
  <c r="K27" i="7"/>
  <c r="K19" i="7"/>
  <c r="K11" i="7"/>
  <c r="L31" i="7"/>
  <c r="L23" i="7"/>
  <c r="L15" i="7"/>
  <c r="L7" i="7"/>
  <c r="H30" i="7"/>
  <c r="H22" i="7"/>
  <c r="H14" i="7"/>
  <c r="K34" i="7"/>
  <c r="K26" i="7"/>
  <c r="K18" i="7"/>
  <c r="K10" i="7"/>
  <c r="M34" i="7"/>
  <c r="M26" i="7"/>
  <c r="M18" i="7"/>
  <c r="M10" i="7"/>
  <c r="K33" i="7"/>
  <c r="K25" i="7"/>
  <c r="K17" i="7"/>
  <c r="K9" i="7"/>
  <c r="H32" i="7"/>
  <c r="I29" i="7"/>
  <c r="H24" i="7"/>
  <c r="I21" i="7"/>
  <c r="H16" i="7"/>
  <c r="I13" i="7"/>
  <c r="H8" i="7"/>
  <c r="H29" i="7"/>
  <c r="H21" i="7"/>
  <c r="H13" i="7"/>
  <c r="H6" i="7"/>
  <c r="D8" i="5"/>
  <c r="E8" i="5"/>
  <c r="F8" i="5"/>
  <c r="C8" i="5"/>
  <c r="D7" i="5"/>
  <c r="E7" i="5"/>
  <c r="F7" i="5"/>
  <c r="C7" i="5"/>
  <c r="D6" i="5"/>
  <c r="E6" i="5"/>
  <c r="F6" i="5"/>
  <c r="C6" i="5"/>
  <c r="D5" i="5"/>
  <c r="E5" i="5"/>
  <c r="F5" i="5"/>
  <c r="C5" i="5"/>
  <c r="F9" i="4"/>
  <c r="E9" i="4"/>
  <c r="D9" i="4"/>
  <c r="C9" i="4"/>
  <c r="F8" i="4"/>
  <c r="E8" i="4"/>
  <c r="D8" i="4"/>
  <c r="C8" i="4"/>
  <c r="F7" i="4"/>
  <c r="E7" i="4"/>
  <c r="D7" i="4"/>
  <c r="C7" i="4"/>
  <c r="F6" i="4"/>
  <c r="E6" i="4"/>
  <c r="D6" i="4"/>
  <c r="C6" i="4"/>
  <c r="D5" i="4"/>
  <c r="F5" i="4"/>
  <c r="E5" i="4"/>
  <c r="C5" i="4"/>
</calcChain>
</file>

<file path=xl/sharedStrings.xml><?xml version="1.0" encoding="utf-8"?>
<sst xmlns="http://schemas.openxmlformats.org/spreadsheetml/2006/main" count="293" uniqueCount="226">
  <si>
    <t xml:space="preserve">  </t>
  </si>
  <si>
    <t xml:space="preserve"> Table of Contents</t>
  </si>
  <si>
    <t>Econometrics Project: Multiple Regression Analysis &amp; Diagnostic Testing</t>
  </si>
  <si>
    <t>Data Source: World Bank WDI</t>
  </si>
  <si>
    <t>Raw Data</t>
  </si>
  <si>
    <t>Clean Data</t>
  </si>
  <si>
    <t>Descriptive Statistics</t>
  </si>
  <si>
    <t>Correlation Matrix</t>
  </si>
  <si>
    <t>Regression Output</t>
  </si>
  <si>
    <t>White's Test</t>
  </si>
  <si>
    <t>Durbin-Watson Test</t>
  </si>
  <si>
    <t xml:space="preserve"> Project, Author And Course Info</t>
  </si>
  <si>
    <t>macroeconomic indicators using annual World Bank data.</t>
  </si>
  <si>
    <t>This project investigates the determinants of economic growth using multiple</t>
  </si>
  <si>
    <t xml:space="preserve">The study evaluates the relationships between GDP growth and selected </t>
  </si>
  <si>
    <t>regression analysis and econometric diagnostic testing in Microsoft Excel.</t>
  </si>
  <si>
    <t>Turkiye</t>
  </si>
  <si>
    <t>TUR</t>
  </si>
  <si>
    <t>Inflation, consumer prices (annual %)</t>
  </si>
  <si>
    <t>FP.CPI.TOTL.ZG</t>
  </si>
  <si>
    <t>Country Name</t>
  </si>
  <si>
    <t>Country Code</t>
  </si>
  <si>
    <t>Indicator Name</t>
  </si>
  <si>
    <t>Indicator Code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</si>
  <si>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</si>
  <si>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</si>
  <si>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</si>
  <si>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</si>
  <si>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</si>
  <si>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</si>
  <si>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</si>
  <si>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</si>
  <si>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</si>
  <si>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</si>
  <si>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</si>
  <si>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</si>
  <si>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</si>
  <si>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</si>
  <si>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</si>
  <si>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</si>
  <si>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</si>
  <si>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</si>
  <si>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</si>
  <si>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</si>
  <si>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</si>
  <si>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</si>
  <si>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</si>
  <si>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</si>
  <si>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</si>
  <si>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</si>
  <si>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</si>
  <si>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</si>
  <si>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</si>
  <si>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</si>
  <si>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GDP growth (annual %)</t>
  </si>
  <si>
    <t>NY.GDP.MKTP.KD.ZG</t>
  </si>
  <si>
    <t>Gross capital formation (% of GDP)</t>
  </si>
  <si>
    <t>NE.GDI.TOTL.ZS</t>
  </si>
  <si>
    <t>Unemployment, total (% of total labor force) (modeled ILO estimate)</t>
  </si>
  <si>
    <t>SL.UEM.TOTL.ZS</t>
  </si>
  <si>
    <t>University of Jordan</t>
  </si>
  <si>
    <t>Source: World Bank World Development Indicators (WDI)</t>
  </si>
  <si>
    <t>Year</t>
  </si>
  <si>
    <t>GDP Growth Rate (%)</t>
  </si>
  <si>
    <t>Inflation Rate (%)</t>
  </si>
  <si>
    <t>GCF (% of GDP)</t>
  </si>
  <si>
    <t>Unemployment</t>
  </si>
  <si>
    <t>Residuals (e)</t>
  </si>
  <si>
    <t>Statistic</t>
  </si>
  <si>
    <t>GDP Growth
(%)</t>
  </si>
  <si>
    <t>Mean</t>
  </si>
  <si>
    <t>Median</t>
  </si>
  <si>
    <t>Standard Deviation</t>
  </si>
  <si>
    <t>Minimum</t>
  </si>
  <si>
    <t>Maximum</t>
  </si>
  <si>
    <t>Interpretation:</t>
  </si>
  <si>
    <t>CORRELATION MATRIX – ALL VARIABLES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</si>
  <si>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</si>
  <si>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</si>
  <si>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</si>
  <si>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</si>
  <si>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</si>
  <si>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</si>
  <si>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</si>
  <si>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</si>
  <si>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</si>
  <si>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</si>
  <si>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</si>
  <si>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</si>
  <si>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</si>
  <si>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</si>
  <si>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</si>
  <si>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</si>
  <si>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</si>
  <si>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</si>
  <si>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</si>
  <si>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</si>
  <si>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</si>
  <si>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</si>
  <si>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</si>
  <si>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</si>
  <si>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</si>
  <si>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GDP Growth Rate (%)</t>
  </si>
  <si>
    <t>Residuals</t>
  </si>
  <si>
    <t>COEFFICIENTS TABLE</t>
  </si>
  <si>
    <t>Source</t>
  </si>
  <si>
    <t>Variable</t>
  </si>
  <si>
    <t>Inflation Rate (X₁)</t>
  </si>
  <si>
    <t>GCF (% of GDP) (X₂)</t>
  </si>
  <si>
    <t>Unemployment (X₃)</t>
  </si>
  <si>
    <t>• There is a moderate positive correlation (0.412) between GDP Growth and Gross Capital Formation, confirming that domestic investment directly supports economic expansion.</t>
  </si>
  <si>
    <t>• A strong negative correlation (-0.739) exists between the Inflation Rate and Unemployment, clearly reflecting a pronounced Phillips Curve effect within the Turkish economy</t>
  </si>
  <si>
    <t>• Both Inflation (-0.120) and Unemployment (-0.094) display weak negative correlations with GDP Growth, indicating these macroeconomic headwinds act as a drag on national output.</t>
  </si>
  <si>
    <t>• The most significant multicollinearity risk lies between Inflation and Unemployment; however, at -0.739, it remains below the standard 0.80 rejection threshold.</t>
  </si>
  <si>
    <t>• The correlation signs align perfectly with established macroeconomic theory, providing a mathematically sound and defensible foundation for the multiple regression model.</t>
  </si>
  <si>
    <t>• GDP Growth (%): Averaged 4.96%, but a wide range (-5.46% to 11.81%) and a high standard deviation (4.22%) highlight a highly volatile economic cycle.</t>
  </si>
  <si>
    <t>• Inflation Rate (%): Shows extreme price instability, averaging 31.58% with a massive peak of 89.11%, reflecting structural macroeconomic challenges.</t>
  </si>
  <si>
    <t>• Gross Capital Formation (%): Averaged a steady 28.65% acting as a consistent driver of economic output.</t>
  </si>
  <si>
    <t>• Unemployment Rate (%): Averaged 9.98% and never dropped below 6.495%, demonstrating chronic difficulties in absorbing the growing labor force.</t>
  </si>
  <si>
    <t>• The overall regression model is statistically significant .Since</t>
  </si>
  <si>
    <t>coefficients are jointly equal to zero is rejected.</t>
  </si>
  <si>
    <t>the p-value is below 0.05, the null hypothesis that all slope</t>
  </si>
  <si>
    <t xml:space="preserve"> suggesting weak statistical evidence of its effect on GDP growth.</t>
  </si>
  <si>
    <t>• Inflation is statistically significant only at the 10% significance level</t>
  </si>
  <si>
    <t>• Gross Capital Formation is statistically significant at the 5% level</t>
  </si>
  <si>
    <t>• Unemployment Rate is statistically significant at the 5% level , showing that labor-market</t>
  </si>
  <si>
    <t>associated with lower GDP growth. This is consistent with economic theory since inflation may reduce</t>
  </si>
  <si>
    <t>purchasing power and increase economic uncertainty.</t>
  </si>
  <si>
    <t xml:space="preserve">• The coefficient of Inflation Rate is negative, indicating that higher inflation is </t>
  </si>
  <si>
    <t xml:space="preserve">• The coefficient of GCF is positive, meaning that higher investment levels contribute positively to economic </t>
  </si>
  <si>
    <t>growth by increasing productive capacity and capital accumulation.</t>
  </si>
  <si>
    <t>growth due to underutilization of labor resources and weaker economic activity.</t>
  </si>
  <si>
    <t>power for macroeconomic time-series data.</t>
  </si>
  <si>
    <t>• The regression explains 29.6% of the variation in GDP growth , indicating moderate explanatory</t>
  </si>
  <si>
    <t>growth while inflation and unemployment negatively affect growth.</t>
  </si>
  <si>
    <t xml:space="preserve">• Overall, the regression results are generally consistent with economic theory, as investment positively affects </t>
  </si>
  <si>
    <t>Charts &amp; Graphs</t>
  </si>
  <si>
    <t>WHITE'S TEST FOR HETEROSKEDASTICITY</t>
  </si>
  <si>
    <t>H₀: Homoskedasticity (constant variance of error terms)</t>
  </si>
  <si>
    <t>H₁: Heteroskedasticity (non-constant variance)</t>
  </si>
  <si>
    <t xml:space="preserve">     University of Jordan</t>
  </si>
  <si>
    <t>e (Residual)</t>
  </si>
  <si>
    <t>X₁</t>
  </si>
  <si>
    <t>X₂</t>
  </si>
  <si>
    <t>X₃</t>
  </si>
  <si>
    <t>X₁²</t>
  </si>
  <si>
    <t>X₂²</t>
  </si>
  <si>
    <t>X₃²</t>
  </si>
  <si>
    <t>X₁·X₂</t>
  </si>
  <si>
    <t>X₁·X₃</t>
  </si>
  <si>
    <t>X₂·X₃</t>
  </si>
  <si>
    <t>e² (Residual)²</t>
  </si>
  <si>
    <t>SUMMARY OUTPUT</t>
  </si>
  <si>
    <t>AUXILIARY REGRESSION RESULTS (Dependent Variable: e²)</t>
  </si>
  <si>
    <t>Value</t>
  </si>
  <si>
    <t>Auxiliary Regression R²</t>
  </si>
  <si>
    <t>Test Statistic (n × R²)</t>
  </si>
  <si>
    <t>Degrees of Freedom</t>
  </si>
  <si>
    <t>χ² Critical Value (α = 5%)</t>
  </si>
  <si>
    <t>Number of Obs(n)</t>
  </si>
  <si>
    <t>CONCLUSION: Test Statistic (18.764) &gt; χ²_critical (16.919) --- REJECT H₀ --- evidence of heteroskedasticity at 5% significance level.</t>
  </si>
  <si>
    <t>• the presence of heteroskedasticity may cause OLS standard errors to become biased and unreliable, affecting hypothesis testing and confidence intervals.</t>
  </si>
  <si>
    <t>• although the coefficient estimates remain unbiased, the statistical significance of variables should be interpreted with caution.</t>
  </si>
  <si>
    <t>DURBIN-WATSON TEST FOR AUTOCORRELATION</t>
  </si>
  <si>
    <t>Formula:   d = Σ(eₜ - eₜ₋₁)² / Σeₜ²</t>
  </si>
  <si>
    <t>Residual (eₜ)</t>
  </si>
  <si>
    <t>eₜ²</t>
  </si>
  <si>
    <t>(eₜ - eₜ₋₁)</t>
  </si>
  <si>
    <t>(eₜ - eₜ₋₁)²</t>
  </si>
  <si>
    <t>—</t>
  </si>
  <si>
    <t>DURBIN-WATSON CALCULATION AND INTERPRETATION</t>
  </si>
  <si>
    <t>Σ(eₜ - eₜ₋₁)²</t>
  </si>
  <si>
    <t xml:space="preserve">Σeₜ² </t>
  </si>
  <si>
    <t>D-W Statistic</t>
  </si>
  <si>
    <t>Bound</t>
  </si>
  <si>
    <t>1.214</t>
  </si>
  <si>
    <t>1.650</t>
  </si>
  <si>
    <t>4 - dU</t>
  </si>
  <si>
    <t>2.350</t>
  </si>
  <si>
    <t>4 - dL</t>
  </si>
  <si>
    <t>2.786</t>
  </si>
  <si>
    <t>CRITICAL VALUES (n=30, k=3)</t>
  </si>
  <si>
    <t>dL (Lower b)</t>
  </si>
  <si>
    <t>dU (Upper b)</t>
  </si>
  <si>
    <t xml:space="preserve"> •  d &lt; dL ===Positive autocorrelation</t>
  </si>
  <si>
    <t xml:space="preserve"> •  d  &gt; 4- dL === Negative autocorrelation</t>
  </si>
  <si>
    <t xml:space="preserve"> •  dU &lt; d &lt; 4-dU (1.650–2.350) → No autocorrelation</t>
  </si>
  <si>
    <t xml:space="preserve"> • The Durbin–Watson statistic is close to 2, indicating no significant autocorrelation in the residuals.</t>
  </si>
  <si>
    <t>How could the regression model be improved?</t>
  </si>
  <si>
    <t xml:space="preserve"> econometric corrections for heteroskedasticity and autocorrelation may also improve the model.</t>
  </si>
  <si>
    <t>rates, government expenditure, interest rates, or trade indicators. Using a larger sample size and applying</t>
  </si>
  <si>
    <t>The regression model could be improved by including additional macroeconomic variables such as exchange</t>
  </si>
  <si>
    <t>Which assumptions of classical linear regression may still be violated?</t>
  </si>
  <si>
    <t>between explanatory variables. These issues may affect the reliability of OLS estimation and statistical inference.</t>
  </si>
  <si>
    <t xml:space="preserve">The model may still suffer from heteroskedasticity, autocorrelation, omitted variable bias, and possible multicollinearity </t>
  </si>
  <si>
    <t xml:space="preserve"> </t>
  </si>
  <si>
    <t>Why is autocorrelation problematic in time-series regression?</t>
  </si>
  <si>
    <t>OLS estimates and unreliable standard errors. This reduces the reliability of statistical inference.</t>
  </si>
  <si>
    <t>Autocorrelation violates one of the classical linear regression assumptions and may lead to inefficient</t>
  </si>
  <si>
    <t>What does the Durbin-Watson statistic measure?</t>
  </si>
  <si>
    <t>The Durbin-Watson statistic measures autocorrelation in the residuals of a regression model</t>
  </si>
  <si>
    <t>It tests whether residuals are correlated across time periods.</t>
  </si>
  <si>
    <t xml:space="preserve">  Therefore, the null hypothesis of no autocorrelation is not rejected.</t>
  </si>
  <si>
    <t>Residuals Over Time</t>
  </si>
  <si>
    <t>Impact of independent variables on GDP</t>
  </si>
  <si>
    <t>Türkiye  – ECONOMIC GROWTH REGRESSION DATASET (1995–2024)</t>
  </si>
  <si>
    <t>DESCRIPTIVE STATISTICS – Türkiye (1995–2024)</t>
  </si>
  <si>
    <t xml:space="preserve">•  Missing values: No missing observations were present in the World Bank WDI dataset for Türkiye over 1995–2024. </t>
  </si>
  <si>
    <t>REGRESSION OUTPUT – Türkiye GDP GROWTH MODEL</t>
  </si>
  <si>
    <t>conditions significantly affect economic growth in Türkiye.</t>
  </si>
  <si>
    <t>• Student Name: Abdalmalik Sabri</t>
  </si>
  <si>
    <t>• Student Number: 0225555</t>
  </si>
  <si>
    <t>• Email: aboodsabri2004@gmail.com</t>
  </si>
  <si>
    <t>• Professor: Diana Abughunmi</t>
  </si>
  <si>
    <t>• Course: Research Methods in Finance Section 2</t>
  </si>
  <si>
    <r>
      <t xml:space="preserve">• Country Selected: </t>
    </r>
    <r>
      <rPr>
        <sz val="13"/>
        <color rgb="FFC00000"/>
        <rFont val="Open Sans"/>
        <family val="2"/>
      </rPr>
      <t xml:space="preserve">Türkiye </t>
    </r>
  </si>
  <si>
    <t>• Sample Period: 1995–2024 (30 annual observations)</t>
  </si>
  <si>
    <t>• Dependent Variable: GDP Growth Rate (% annual)</t>
  </si>
  <si>
    <t>• Independent Variables: Inflation, (GCF), Unemployment</t>
  </si>
  <si>
    <t>• The coefficient of Unemployment Rate is negative, indicating that higher unemployment reduces GDP activity.</t>
  </si>
  <si>
    <t>making it the strongest predictor in the model.</t>
  </si>
  <si>
    <t>CHARTS &amp; GRAPHS – Türkiye REGRESSION ANALYSIS (1995–2024)</t>
  </si>
  <si>
    <t>GDP Growth Rate Vs Predicted Over Time</t>
  </si>
  <si>
    <t xml:space="preserve"> • This suggests that the residuals are independent over time and the OLS estimates remain reliable</t>
  </si>
  <si>
    <t xml:space="preserve">   however, note that heteroskedasticity was found, so standard errors remain unreliable,</t>
  </si>
  <si>
    <t>Variables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</si>
</sst>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2" x14ac:knownFonts="1">
    <font>
      <sz val="10"/>
      <color theme="1"/>
      <name val="Open sans"/>
      <family val="2"/>
    </font>
    <font>
      <b/>
      <sz val="10"/>
      <color theme="1"/>
      <name val="Open sans"/>
      <family val="2"/>
    </font>
    <font>
      <u/>
      <sz val="10"/>
      <color theme="10"/>
      <name val="Open sans"/>
      <family val="2"/>
    </font>
    <font>
      <sz val="11"/>
      <color theme="0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20"/>
      <color theme="9" tint="-0.249977111117893"/>
      <name val="Open Sans"/>
      <family val="2"/>
    </font>
    <font>
      <b/>
      <sz val="14"/>
      <color theme="1"/>
      <name val="Open Sans"/>
      <family val="2"/>
    </font>
    <font>
      <sz val="12"/>
      <color theme="1"/>
      <name val="Open Sans"/>
      <family val="2"/>
    </font>
    <font>
      <b/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i/>
      <sz val="10"/>
      <color theme="1"/>
      <name val="Open Sans"/>
      <family val="2"/>
    </font>
    <font>
      <sz val="13"/>
      <color theme="1"/>
      <name val="Open Sans"/>
      <family val="2"/>
    </font>
    <font>
      <sz val="13"/>
      <color rgb="FFC00000"/>
      <name val="Open San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i/>
      <sz val="9"/>
      <color rgb="FF555555"/>
      <name val="Arial"/>
      <family val="2"/>
    </font>
    <font>
      <sz val="22"/>
      <color rgb="FFFFFFFF"/>
      <name val="Calibri"/>
      <family val="2"/>
      <scheme val="minor"/>
    </font>
    <font>
      <b/>
      <sz val="13"/>
      <color theme="1"/>
      <name val="Open Sans"/>
      <family val="2"/>
    </font>
    <font>
      <b/>
      <sz val="9"/>
      <color theme="1"/>
      <name val="Open sans"/>
      <family val="2"/>
    </font>
    <font>
      <b/>
      <sz val="12"/>
      <color theme="1"/>
      <name val="Open Sans"/>
      <family val="2"/>
    </font>
    <font>
      <b/>
      <sz val="11"/>
      <color theme="1"/>
      <name val="Open sans"/>
      <family val="2"/>
    </font>
    <font>
      <b/>
      <sz val="11"/>
      <color theme="9" tint="-0.249977111117893"/>
      <name val="Open sans"/>
      <family val="2"/>
    </font>
    <font>
      <b/>
      <sz val="8"/>
      <color theme="1"/>
      <name val="Open sans"/>
      <family val="2"/>
    </font>
    <font>
      <b/>
      <sz val="10"/>
      <color theme="9" tint="-0.249977111117893"/>
      <name val="Open sans"/>
      <family val="2"/>
    </font>
    <font>
      <sz val="20"/>
      <color rgb="FFFFFFFF"/>
      <name val="Calibri"/>
      <family val="2"/>
      <scheme val="minor"/>
    </font>
    <font>
      <sz val="9"/>
      <color theme="1"/>
      <name val="Open sans"/>
      <family val="2"/>
    </font>
    <font>
      <u/>
      <sz val="13"/>
      <color theme="8" tint="-0.249977111117893"/>
      <name val="Open Sans"/>
      <family val="2"/>
    </font>
    <font>
      <b/>
      <sz val="10"/>
      <color rgb="FF1F4E79"/>
      <name val="Arial"/>
      <family val="2"/>
    </font>
    <font>
      <b/>
      <sz val="11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sz val="11"/>
      <color theme="4" tint="-0.249977111117893"/>
      <name val="Open sans"/>
      <family val="2"/>
    </font>
    <font>
      <i/>
      <sz val="13"/>
      <color theme="1"/>
      <name val="Open Sans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ADDC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D6E4F0"/>
      </patternFill>
    </fill>
  </fills>
  <borders count="18">
    <border>
      <left/>
      <right/>
      <top/>
      <bottom/>
      <diagonal/>
    </border>
    <border>
      <left style="thick">
        <color theme="6"/>
      </left>
      <right/>
      <top style="thick">
        <color theme="6"/>
      </top>
      <bottom/>
      <diagonal/>
    </border>
    <border>
      <left/>
      <right/>
      <top style="thick">
        <color theme="6"/>
      </top>
      <bottom/>
      <diagonal/>
    </border>
    <border>
      <left/>
      <right style="thick">
        <color theme="6"/>
      </right>
      <top style="thick">
        <color theme="6"/>
      </top>
      <bottom/>
      <diagonal/>
    </border>
    <border>
      <left style="thick">
        <color theme="6"/>
      </left>
      <right/>
      <top/>
      <bottom/>
      <diagonal/>
    </border>
    <border>
      <left/>
      <right style="thick">
        <color theme="6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9" tint="-0.24994659260841701"/>
      </bottom>
      <diagonal/>
    </border>
    <border>
      <left style="thick">
        <color theme="6"/>
      </left>
      <right/>
      <top/>
      <bottom style="thick">
        <color theme="6"/>
      </bottom>
      <diagonal/>
    </border>
    <border>
      <left/>
      <right/>
      <top/>
      <bottom style="thick">
        <color theme="6"/>
      </bottom>
      <diagonal/>
    </border>
    <border>
      <left/>
      <right style="thick">
        <color theme="6"/>
      </right>
      <top/>
      <bottom style="thick">
        <color theme="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3" fillId="0" borderId="0"/>
    <xf numFmtId="0" fontId="14" fillId="0" borderId="0"/>
  </cellStyleXfs>
  <cellXfs count="1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3" fillId="2" borderId="0" xfId="0" applyFont="1" applyFill="1"/>
    <xf numFmtId="0" fontId="0" fillId="0" borderId="4" xfId="0" applyBorder="1"/>
    <xf numFmtId="0" fontId="0" fillId="0" borderId="5" xfId="0" applyBorder="1"/>
    <xf numFmtId="0" fontId="4" fillId="3" borderId="4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0" fillId="0" borderId="7" xfId="0" applyBorder="1"/>
    <xf numFmtId="0" fontId="9" fillId="0" borderId="0" xfId="0" applyFo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0" fillId="0" borderId="0" xfId="0" applyFont="1"/>
    <xf numFmtId="0" fontId="10" fillId="0" borderId="4" xfId="0" applyFont="1" applyBorder="1"/>
    <xf numFmtId="0" fontId="10" fillId="0" borderId="0" xfId="0" applyFont="1" applyAlignment="1">
      <alignment horizontal="right" vertical="top"/>
    </xf>
    <xf numFmtId="0" fontId="10" fillId="0" borderId="5" xfId="0" applyFont="1" applyBorder="1"/>
    <xf numFmtId="0" fontId="0" fillId="0" borderId="0" xfId="0" applyAlignment="1">
      <alignment horizontal="right" vertical="top"/>
    </xf>
    <xf numFmtId="0" fontId="7" fillId="3" borderId="0" xfId="0" applyFont="1" applyFill="1"/>
    <xf numFmtId="0" fontId="7" fillId="4" borderId="0" xfId="0" applyFont="1" applyFill="1"/>
    <xf numFmtId="0" fontId="11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0" fillId="0" borderId="0" xfId="0" applyAlignment="1">
      <alignment vertical="top"/>
    </xf>
    <xf numFmtId="0" fontId="11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7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13" fillId="0" borderId="0" xfId="2"/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right" vertical="center" indent="2"/>
    </xf>
    <xf numFmtId="0" fontId="16" fillId="2" borderId="0" xfId="0" applyFont="1" applyFill="1" applyAlignment="1">
      <alignment horizontal="right" vertical="center" indent="6"/>
    </xf>
    <xf numFmtId="0" fontId="16" fillId="2" borderId="0" xfId="0" applyFont="1" applyFill="1" applyAlignment="1">
      <alignment horizontal="right" vertical="center" indent="12"/>
    </xf>
    <xf numFmtId="0" fontId="18" fillId="6" borderId="11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 vertical="center"/>
    </xf>
    <xf numFmtId="164" fontId="0" fillId="4" borderId="11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2" fontId="0" fillId="3" borderId="11" xfId="0" applyNumberForma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left" vertical="center"/>
    </xf>
    <xf numFmtId="0" fontId="21" fillId="0" borderId="0" xfId="0" applyFont="1"/>
    <xf numFmtId="0" fontId="0" fillId="6" borderId="11" xfId="0" applyFill="1" applyBorder="1"/>
    <xf numFmtId="0" fontId="22" fillId="4" borderId="11" xfId="0" applyFont="1" applyFill="1" applyBorder="1" applyAlignment="1">
      <alignment horizontal="left" vertical="center"/>
    </xf>
    <xf numFmtId="0" fontId="22" fillId="4" borderId="11" xfId="0" applyFont="1" applyFill="1" applyBorder="1" applyAlignment="1">
      <alignment horizontal="left" vertical="center" wrapText="1"/>
    </xf>
    <xf numFmtId="2" fontId="1" fillId="4" borderId="11" xfId="0" applyNumberFormat="1" applyFont="1" applyFill="1" applyBorder="1" applyAlignment="1">
      <alignment horizontal="center" vertical="center"/>
    </xf>
    <xf numFmtId="2" fontId="1" fillId="3" borderId="11" xfId="0" applyNumberFormat="1" applyFont="1" applyFill="1" applyBorder="1" applyAlignment="1">
      <alignment horizontal="center" vertical="center"/>
    </xf>
    <xf numFmtId="0" fontId="23" fillId="0" borderId="0" xfId="0" applyFont="1"/>
    <xf numFmtId="0" fontId="0" fillId="3" borderId="0" xfId="0" applyFill="1"/>
    <xf numFmtId="37" fontId="20" fillId="7" borderId="0" xfId="0" applyNumberFormat="1" applyFont="1" applyFill="1" applyAlignment="1">
      <alignment vertical="center"/>
    </xf>
    <xf numFmtId="0" fontId="0" fillId="4" borderId="11" xfId="0" applyFill="1" applyBorder="1"/>
    <xf numFmtId="164" fontId="0" fillId="4" borderId="11" xfId="0" applyNumberFormat="1" applyFill="1" applyBorder="1"/>
    <xf numFmtId="0" fontId="0" fillId="0" borderId="11" xfId="0" applyBorder="1"/>
    <xf numFmtId="164" fontId="0" fillId="0" borderId="11" xfId="0" applyNumberFormat="1" applyBorder="1"/>
    <xf numFmtId="0" fontId="0" fillId="3" borderId="11" xfId="0" applyFill="1" applyBorder="1"/>
    <xf numFmtId="164" fontId="0" fillId="3" borderId="11" xfId="0" applyNumberFormat="1" applyFill="1" applyBorder="1"/>
    <xf numFmtId="1" fontId="0" fillId="0" borderId="11" xfId="0" applyNumberFormat="1" applyBorder="1"/>
    <xf numFmtId="1" fontId="0" fillId="4" borderId="11" xfId="0" applyNumberFormat="1" applyFill="1" applyBorder="1"/>
    <xf numFmtId="1" fontId="0" fillId="3" borderId="11" xfId="0" applyNumberFormat="1" applyFill="1" applyBorder="1"/>
    <xf numFmtId="0" fontId="1" fillId="4" borderId="11" xfId="0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0" fillId="0" borderId="11" xfId="0" applyNumberFormat="1" applyBorder="1" applyAlignment="1">
      <alignment horizontal="right"/>
    </xf>
    <xf numFmtId="164" fontId="0" fillId="4" borderId="11" xfId="0" applyNumberFormat="1" applyFill="1" applyBorder="1" applyAlignment="1">
      <alignment horizontal="right"/>
    </xf>
    <xf numFmtId="164" fontId="0" fillId="3" borderId="11" xfId="0" applyNumberFormat="1" applyFill="1" applyBorder="1" applyAlignment="1">
      <alignment horizontal="right"/>
    </xf>
    <xf numFmtId="164" fontId="0" fillId="4" borderId="11" xfId="0" applyNumberFormat="1" applyFill="1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18" fillId="4" borderId="11" xfId="0" applyFont="1" applyFill="1" applyBorder="1" applyAlignment="1">
      <alignment horizontal="center"/>
    </xf>
    <xf numFmtId="164" fontId="0" fillId="0" borderId="11" xfId="0" applyNumberFormat="1" applyBorder="1" applyAlignment="1">
      <alignment horizontal="center" vertical="center"/>
    </xf>
    <xf numFmtId="0" fontId="24" fillId="2" borderId="0" xfId="0" applyFont="1" applyFill="1" applyAlignment="1">
      <alignment horizontal="right" vertical="center" indent="2"/>
    </xf>
    <xf numFmtId="164" fontId="0" fillId="8" borderId="11" xfId="0" applyNumberFormat="1" applyFill="1" applyBorder="1" applyAlignment="1">
      <alignment horizontal="right"/>
    </xf>
    <xf numFmtId="0" fontId="25" fillId="0" borderId="0" xfId="0" applyFont="1"/>
    <xf numFmtId="164" fontId="0" fillId="9" borderId="11" xfId="0" applyNumberFormat="1" applyFill="1" applyBorder="1"/>
    <xf numFmtId="164" fontId="0" fillId="9" borderId="11" xfId="0" applyNumberFormat="1" applyFill="1" applyBorder="1" applyAlignment="1">
      <alignment horizontal="right"/>
    </xf>
    <xf numFmtId="164" fontId="0" fillId="10" borderId="11" xfId="0" applyNumberFormat="1" applyFill="1" applyBorder="1" applyAlignment="1">
      <alignment horizontal="right" vertical="center"/>
    </xf>
    <xf numFmtId="0" fontId="26" fillId="0" borderId="0" xfId="1" applyFont="1" applyBorder="1" applyAlignment="1">
      <alignment vertical="top"/>
    </xf>
    <xf numFmtId="2" fontId="0" fillId="0" borderId="0" xfId="0" applyNumberFormat="1"/>
    <xf numFmtId="0" fontId="0" fillId="0" borderId="15" xfId="0" applyBorder="1"/>
    <xf numFmtId="0" fontId="10" fillId="0" borderId="16" xfId="0" applyFont="1" applyBorder="1" applyAlignment="1">
      <alignment horizontal="centerContinuous"/>
    </xf>
    <xf numFmtId="164" fontId="0" fillId="0" borderId="0" xfId="0" applyNumberFormat="1"/>
    <xf numFmtId="165" fontId="0" fillId="3" borderId="11" xfId="0" applyNumberFormat="1" applyFill="1" applyBorder="1" applyAlignment="1">
      <alignment horizontal="center" vertical="center"/>
    </xf>
    <xf numFmtId="1" fontId="0" fillId="3" borderId="11" xfId="0" applyNumberForma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25" fillId="3" borderId="0" xfId="0" applyFont="1" applyFill="1"/>
    <xf numFmtId="0" fontId="19" fillId="6" borderId="11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165" fontId="0" fillId="4" borderId="11" xfId="0" applyNumberFormat="1" applyFill="1" applyBorder="1" applyAlignment="1">
      <alignment horizontal="center" vertical="center"/>
    </xf>
    <xf numFmtId="37" fontId="18" fillId="5" borderId="11" xfId="0" applyNumberFormat="1" applyFont="1" applyFill="1" applyBorder="1" applyAlignment="1">
      <alignment vertical="center"/>
    </xf>
    <xf numFmtId="0" fontId="1" fillId="4" borderId="11" xfId="0" applyFont="1" applyFill="1" applyBorder="1"/>
    <xf numFmtId="165" fontId="0" fillId="0" borderId="11" xfId="0" applyNumberFormat="1" applyBorder="1"/>
    <xf numFmtId="2" fontId="0" fillId="0" borderId="11" xfId="0" applyNumberFormat="1" applyBorder="1"/>
    <xf numFmtId="0" fontId="0" fillId="9" borderId="11" xfId="0" applyFill="1" applyBorder="1"/>
    <xf numFmtId="0" fontId="31" fillId="0" borderId="0" xfId="0" applyFont="1" applyAlignment="1">
      <alignment vertical="top"/>
    </xf>
    <xf numFmtId="0" fontId="15" fillId="0" borderId="0" xfId="3" applyFont="1" applyAlignment="1">
      <alignment horizontal="left" vertical="center"/>
    </xf>
    <xf numFmtId="37" fontId="17" fillId="5" borderId="0" xfId="0" applyNumberFormat="1" applyFont="1" applyFill="1" applyAlignment="1">
      <alignment horizontal="center" vertical="center"/>
    </xf>
    <xf numFmtId="37" fontId="19" fillId="5" borderId="0" xfId="0" applyNumberFormat="1" applyFont="1" applyFill="1" applyAlignment="1">
      <alignment horizontal="center" vertical="center"/>
    </xf>
    <xf numFmtId="37" fontId="20" fillId="5" borderId="0" xfId="0" applyNumberFormat="1" applyFont="1" applyFill="1" applyAlignment="1">
      <alignment horizontal="center" vertical="center"/>
    </xf>
    <xf numFmtId="0" fontId="20" fillId="6" borderId="13" xfId="0" applyFont="1" applyFill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8" fillId="11" borderId="0" xfId="0" applyFont="1" applyFill="1" applyAlignment="1">
      <alignment horizontal="center" wrapText="1"/>
    </xf>
    <xf numFmtId="0" fontId="27" fillId="0" borderId="0" xfId="0" applyFont="1"/>
    <xf numFmtId="0" fontId="29" fillId="0" borderId="0" xfId="0" applyFont="1"/>
    <xf numFmtId="37" fontId="30" fillId="7" borderId="0" xfId="0" applyNumberFormat="1" applyFont="1" applyFill="1" applyAlignment="1">
      <alignment horizontal="left" vertical="center"/>
    </xf>
    <xf numFmtId="37" fontId="1" fillId="5" borderId="0" xfId="0" applyNumberFormat="1" applyFont="1" applyFill="1" applyAlignment="1">
      <alignment horizontal="center" vertical="center"/>
    </xf>
    <xf numFmtId="37" fontId="1" fillId="5" borderId="17" xfId="0" applyNumberFormat="1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2" xr:uid="{D6510D40-DFC5-40FB-893B-0101A484571F}"/>
    <cellStyle name="Normal 3" xfId="3" xr:uid="{5C3D6DD5-8B19-42FB-B3D4-AC6AD55CF2AC}"/>
  </cellStyles>
  <dxfs count="0"/>
  <tableStyles count="0" defaultTableStyle="TableStyleMedium2" defaultPivotStyle="PivotStyleLight16"/>
  <colors>
    <mruColors>
      <color rgb="FFF0FDB1"/>
      <color rgb="FFFADDCA"/>
      <color rgb="FFF9D1B5"/>
      <color rgb="FFFFCC66"/>
      <color rgb="FFFAA7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41365923009624"/>
          <c:y val="2.5428331875182269E-2"/>
          <c:w val="0.86344898293963257"/>
          <c:h val="0.91625000000000001"/>
        </c:manualLayout>
      </c:layout>
      <c:lineChart>
        <c:grouping val="standard"/>
        <c:varyColors val="0"/>
        <c:ser>
          <c:idx val="0"/>
          <c:order val="0"/>
          <c:tx>
            <c:strRef>
              <c:f>'Clean Data'!$C$5</c:f>
              <c:strCache>
                <c:ptCount val="1"/>
                <c:pt idx="0">
                  <c:v>GDP Growth Rate (%)</c:v>
                </c:pt>
              </c:strCache>
            </c:strRef>
          </c:tx>
          <c:spPr>
            <a:ln w="15875" cap="rnd">
              <a:solidFill>
                <a:srgbClr val="00B050">
                  <a:alpha val="88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'Clean Data'!$B$6:$B$35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'Clean Data'!$C$6:$C$35</c:f>
              <c:numCache>
                <c:formatCode>0.00</c:formatCode>
                <c:ptCount val="30"/>
                <c:pt idx="0">
                  <c:v>7.8782668761899117</c:v>
                </c:pt>
                <c:pt idx="1">
                  <c:v>7.1577984793084681</c:v>
                </c:pt>
                <c:pt idx="2">
                  <c:v>7.3578623747848013</c:v>
                </c:pt>
                <c:pt idx="3">
                  <c:v>1.9085706434515117</c:v>
                </c:pt>
                <c:pt idx="4">
                  <c:v>-3.0527705575943429</c:v>
                </c:pt>
                <c:pt idx="5">
                  <c:v>6.9852869781706204</c:v>
                </c:pt>
                <c:pt idx="6">
                  <c:v>-5.4594083856306241</c:v>
                </c:pt>
                <c:pt idx="7">
                  <c:v>6.4355088379311383</c:v>
                </c:pt>
                <c:pt idx="8">
                  <c:v>5.7990932103852515</c:v>
                </c:pt>
                <c:pt idx="9">
                  <c:v>9.925405519186242</c:v>
                </c:pt>
                <c:pt idx="10">
                  <c:v>9.1115774586163525</c:v>
                </c:pt>
                <c:pt idx="11">
                  <c:v>7.0676260762393923</c:v>
                </c:pt>
                <c:pt idx="12">
                  <c:v>5.1081851390360384</c:v>
                </c:pt>
                <c:pt idx="13">
                  <c:v>0.9201182213658825</c:v>
                </c:pt>
                <c:pt idx="14">
                  <c:v>-4.8826940170663278</c:v>
                </c:pt>
                <c:pt idx="15">
                  <c:v>8.5421984846768595</c:v>
                </c:pt>
                <c:pt idx="16">
                  <c:v>10.979962527359845</c:v>
                </c:pt>
                <c:pt idx="17">
                  <c:v>4.8076269663344817</c:v>
                </c:pt>
                <c:pt idx="18">
                  <c:v>8.4882568929851061</c:v>
                </c:pt>
                <c:pt idx="19">
                  <c:v>4.6007944727055872</c:v>
                </c:pt>
                <c:pt idx="20">
                  <c:v>5.805573866286835</c:v>
                </c:pt>
                <c:pt idx="21">
                  <c:v>3.3236650820044531</c:v>
                </c:pt>
                <c:pt idx="22">
                  <c:v>7.8258573000259446</c:v>
                </c:pt>
                <c:pt idx="23">
                  <c:v>3.4681530609221909</c:v>
                </c:pt>
                <c:pt idx="24">
                  <c:v>1.3016236546450273</c:v>
                </c:pt>
                <c:pt idx="25">
                  <c:v>1.8030624708725469</c:v>
                </c:pt>
                <c:pt idx="26">
                  <c:v>11.811094450607001</c:v>
                </c:pt>
                <c:pt idx="27">
                  <c:v>5.4412251132240073</c:v>
                </c:pt>
                <c:pt idx="28">
                  <c:v>5.0451236981228931</c:v>
                </c:pt>
                <c:pt idx="29">
                  <c:v>3.3276230893798981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D6-492E-B72E-C280A82B7D93}"/>
            </c:ext>
          </c:extLst>
        </c:ser>
        <c:ser>
          <c:idx val="1"/>
          <c:order val="1"/>
          <c:tx>
            <c:strRef>
              <c:f>'Regression Output'!$C$25</c:f>
              <c:strCache>
                <c:ptCount val="1"/>
                <c:pt idx="0">
                  <c:v>Predicted GDP Growth Rate (%)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'Regression Output'!$C$26:$C$55</c:f>
              <c:numCache>
                <c:formatCode>0.000</c:formatCode>
                <c:ptCount val="30"/>
                <c:pt idx="0">
                  <c:v>3.5557889132595903</c:v>
                </c:pt>
                <c:pt idx="1">
                  <c:v>6.0154843554108082</c:v>
                </c:pt>
                <c:pt idx="2">
                  <c:v>4.5112325958950432</c:v>
                </c:pt>
                <c:pt idx="3">
                  <c:v>3.7292508322326743</c:v>
                </c:pt>
                <c:pt idx="4">
                  <c:v>2.2846613111900194</c:v>
                </c:pt>
                <c:pt idx="5">
                  <c:v>5.3991330366896859</c:v>
                </c:pt>
                <c:pt idx="6">
                  <c:v>1.2645317495863555</c:v>
                </c:pt>
                <c:pt idx="7">
                  <c:v>0.4565991386795325</c:v>
                </c:pt>
                <c:pt idx="8">
                  <c:v>2.2786140540955806</c:v>
                </c:pt>
                <c:pt idx="9">
                  <c:v>3.7903967979537345</c:v>
                </c:pt>
                <c:pt idx="10">
                  <c:v>5.1448349150473298</c:v>
                </c:pt>
                <c:pt idx="11">
                  <c:v>6.7109456165816876</c:v>
                </c:pt>
                <c:pt idx="12">
                  <c:v>6.4175206956547584</c:v>
                </c:pt>
                <c:pt idx="13">
                  <c:v>5.6191247636263064</c:v>
                </c:pt>
                <c:pt idx="14">
                  <c:v>-0.38118394046001569</c:v>
                </c:pt>
                <c:pt idx="15">
                  <c:v>4.1066660852668306</c:v>
                </c:pt>
                <c:pt idx="16">
                  <c:v>8.225538776516041</c:v>
                </c:pt>
                <c:pt idx="17">
                  <c:v>7.5783622386960268</c:v>
                </c:pt>
                <c:pt idx="18">
                  <c:v>7.9785708886639899</c:v>
                </c:pt>
                <c:pt idx="19">
                  <c:v>7.1530889649850309</c:v>
                </c:pt>
                <c:pt idx="20">
                  <c:v>6.6969702512821474</c:v>
                </c:pt>
                <c:pt idx="21">
                  <c:v>5.9040440649653014</c:v>
                </c:pt>
                <c:pt idx="22">
                  <c:v>7.0333177442947985</c:v>
                </c:pt>
                <c:pt idx="23">
                  <c:v>6.0096449013264586</c:v>
                </c:pt>
                <c:pt idx="24">
                  <c:v>1.157216795871264</c:v>
                </c:pt>
                <c:pt idx="25">
                  <c:v>5.0409521407993392</c:v>
                </c:pt>
                <c:pt idx="26">
                  <c:v>6.0431821293852899</c:v>
                </c:pt>
                <c:pt idx="27">
                  <c:v>6.4837154644714836</c:v>
                </c:pt>
                <c:pt idx="28">
                  <c:v>7.0004595776158336</c:v>
                </c:pt>
                <c:pt idx="29">
                  <c:v>5.6236031249440792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D6-492E-B72E-C280A82B7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597280"/>
        <c:axId val="703592960"/>
      </c:lineChart>
      <c:catAx>
        <c:axId val="70359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92960"/>
        <c:crosses val="autoZero"/>
        <c:auto val="1"/>
        <c:lblAlgn val="ctr"/>
        <c:lblOffset val="100"/>
        <c:noMultiLvlLbl val="0"/>
      </c:catAx>
      <c:valAx>
        <c:axId val="703592960"/>
        <c:scaling>
          <c:orientation val="minMax"/>
          <c:max val="12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9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76409793487685"/>
          <c:y val="0.75115631379410919"/>
          <c:w val="0.3356406995401906"/>
          <c:h val="0.201391076115485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56885076865392"/>
          <c:y val="6.4814814814814811E-2"/>
          <c:w val="0.81779902512185987"/>
          <c:h val="0.89814814814814814"/>
        </c:manualLayout>
      </c:layout>
      <c:lineChart>
        <c:grouping val="standard"/>
        <c:varyColors val="0"/>
        <c:ser>
          <c:idx val="0"/>
          <c:order val="0"/>
          <c:tx>
            <c:strRef>
              <c:f>'Clean Data'!$D$5</c:f>
              <c:strCache>
                <c:ptCount val="1"/>
                <c:pt idx="0">
                  <c:v>Inflation Rate (%)</c:v>
                </c:pt>
              </c:strCache>
            </c:strRef>
          </c:tx>
          <c:spPr>
            <a:ln w="28575" cap="rnd">
              <a:solidFill>
                <a:srgbClr val="F0FDB1"/>
              </a:solidFill>
              <a:round/>
            </a:ln>
            <a:effectLst/>
          </c:spPr>
          <c:marker>
            <c:symbol val="none"/>
          </c:marker>
          <c:dPt>
            <c:idx val="2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41275" cap="rnd">
                <a:solidFill>
                  <a:srgbClr val="F0FDB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DCB-4FDE-8144-1561233D846C}"/>
              </c:ext>
            </c:extLst>
          </c:dPt>
          <c:cat>
            <c:strRef>
              <c:f>'Clean Data'!$B$6:$B$35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'Clean Data'!$D$6:$D$35</c:f>
              <c:numCache>
                <c:formatCode>0.00</c:formatCode>
                <c:ptCount val="30"/>
                <c:pt idx="0">
                  <c:v>89.113317224849936</c:v>
                </c:pt>
                <c:pt idx="1">
                  <c:v>80.412151138804248</c:v>
                </c:pt>
                <c:pt idx="2">
                  <c:v>85.669361649977944</c:v>
                </c:pt>
                <c:pt idx="3">
                  <c:v>84.641343484631406</c:v>
                </c:pt>
                <c:pt idx="4">
                  <c:v>64.867487635075733</c:v>
                </c:pt>
                <c:pt idx="5">
                  <c:v>54.915370581268348</c:v>
                </c:pt>
                <c:pt idx="6">
                  <c:v>54.40018876190743</c:v>
                </c:pt>
                <c:pt idx="7">
                  <c:v>44.964120947984981</c:v>
                </c:pt>
                <c:pt idx="8">
                  <c:v>21.602438449057281</c:v>
                </c:pt>
                <c:pt idx="9">
                  <c:v>8.5982616811526178</c:v>
                </c:pt>
                <c:pt idx="10">
                  <c:v>8.179160368020078</c:v>
                </c:pt>
                <c:pt idx="11">
                  <c:v>9.5972421228844649</c:v>
                </c:pt>
                <c:pt idx="12">
                  <c:v>8.7561809097263232</c:v>
                </c:pt>
                <c:pt idx="13">
                  <c:v>10.44412837648847</c:v>
                </c:pt>
                <c:pt idx="14">
                  <c:v>6.2509766309062647</c:v>
                </c:pt>
                <c:pt idx="15">
                  <c:v>8.5664442055297592</c:v>
                </c:pt>
                <c:pt idx="16">
                  <c:v>6.471879671151</c:v>
                </c:pt>
                <c:pt idx="17">
                  <c:v>8.8915699651216258</c:v>
                </c:pt>
                <c:pt idx="18">
                  <c:v>7.4930903054769313</c:v>
                </c:pt>
                <c:pt idx="19">
                  <c:v>8.8545727136431598</c:v>
                </c:pt>
                <c:pt idx="20">
                  <c:v>7.6708536484588477</c:v>
                </c:pt>
                <c:pt idx="21">
                  <c:v>7.7751341532833012</c:v>
                </c:pt>
                <c:pt idx="22">
                  <c:v>11.144311084076421</c:v>
                </c:pt>
                <c:pt idx="23">
                  <c:v>16.33246389889289</c:v>
                </c:pt>
                <c:pt idx="24">
                  <c:v>15.176821572002231</c:v>
                </c:pt>
                <c:pt idx="25">
                  <c:v>12.27895744625741</c:v>
                </c:pt>
                <c:pt idx="26">
                  <c:v>19.596492691332401</c:v>
                </c:pt>
                <c:pt idx="27">
                  <c:v>72.308835989120652</c:v>
                </c:pt>
                <c:pt idx="28">
                  <c:v>53.859408759331508</c:v>
                </c:pt>
                <c:pt idx="29">
                  <c:v>58.506450730034153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CB-4FDE-8144-1561233D846C}"/>
            </c:ext>
          </c:extLst>
        </c:ser>
        <c:ser>
          <c:idx val="1"/>
          <c:order val="1"/>
          <c:tx>
            <c:strRef>
              <c:f>'Clean Data'!$E$5</c:f>
              <c:strCache>
                <c:ptCount val="1"/>
                <c:pt idx="0">
                  <c:v>GCF (% of GDP)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'Clean Data'!$B$6:$B$35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'Clean Data'!$E$6:$E$35</c:f>
              <c:numCache>
                <c:formatCode>0.00</c:formatCode>
                <c:ptCount val="30"/>
                <c:pt idx="0">
                  <c:v>27.402325269035561</c:v>
                </c:pt>
                <c:pt idx="1">
                  <c:v>29.086115903290665</c:v>
                </c:pt>
                <c:pt idx="2">
                  <c:v>27.027986125465688</c:v>
                </c:pt>
                <c:pt idx="3">
                  <c:v>25.299763141922408</c:v>
                </c:pt>
                <c:pt idx="4">
                  <c:v>21.504963784195834</c:v>
                </c:pt>
                <c:pt idx="5">
                  <c:v>24.011318241331956</c:v>
                </c:pt>
                <c:pt idx="6">
                  <c:v>19.614362197964791</c:v>
                </c:pt>
                <c:pt idx="7">
                  <c:v>21.525989356389008</c:v>
                </c:pt>
                <c:pt idx="8">
                  <c:v>22.85678112564694</c:v>
                </c:pt>
                <c:pt idx="9">
                  <c:v>25.167773403716986</c:v>
                </c:pt>
                <c:pt idx="10">
                  <c:v>27.567470871561529</c:v>
                </c:pt>
                <c:pt idx="11">
                  <c:v>30.157714917183696</c:v>
                </c:pt>
                <c:pt idx="12">
                  <c:v>29.549341327370737</c:v>
                </c:pt>
                <c:pt idx="13">
                  <c:v>29.726200747457419</c:v>
                </c:pt>
                <c:pt idx="14">
                  <c:v>23.694875674949468</c:v>
                </c:pt>
                <c:pt idx="15">
                  <c:v>28.452077782551743</c:v>
                </c:pt>
                <c:pt idx="16">
                  <c:v>31.958286232968963</c:v>
                </c:pt>
                <c:pt idx="17">
                  <c:v>29.421538205313023</c:v>
                </c:pt>
                <c:pt idx="18">
                  <c:v>31.36494319908558</c:v>
                </c:pt>
                <c:pt idx="19">
                  <c:v>30.211539066491948</c:v>
                </c:pt>
                <c:pt idx="20">
                  <c:v>30.062899150790955</c:v>
                </c:pt>
                <c:pt idx="21">
                  <c:v>29.828830017521625</c:v>
                </c:pt>
                <c:pt idx="22">
                  <c:v>32.794692197245077</c:v>
                </c:pt>
                <c:pt idx="23">
                  <c:v>31.340800909141564</c:v>
                </c:pt>
                <c:pt idx="24">
                  <c:v>27.505830383216306</c:v>
                </c:pt>
                <c:pt idx="25">
                  <c:v>34.154056079947665</c:v>
                </c:pt>
                <c:pt idx="26">
                  <c:v>34.376144470162288</c:v>
                </c:pt>
                <c:pt idx="27">
                  <c:v>38.602139717568008</c:v>
                </c:pt>
                <c:pt idx="28">
                  <c:v>34.588276511404331</c:v>
                </c:pt>
                <c:pt idx="29">
                  <c:v>30.731155954920837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CB-4FDE-8144-1561233D846C}"/>
            </c:ext>
          </c:extLst>
        </c:ser>
        <c:ser>
          <c:idx val="2"/>
          <c:order val="2"/>
          <c:tx>
            <c:strRef>
              <c:f>'Clean Data'!$F$5</c:f>
              <c:strCache>
                <c:ptCount val="1"/>
                <c:pt idx="0">
                  <c:v>Unemployment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'Clean Data'!$B$6:$B$35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'Clean Data'!$F$6:$F$35</c:f>
              <c:numCache>
                <c:formatCode>0.000</c:formatCode>
                <c:ptCount val="30"/>
                <c:pt idx="0">
                  <c:v>7.6440000000000001</c:v>
                </c:pt>
                <c:pt idx="1">
                  <c:v>6.6289999999999996</c:v>
                </c:pt>
                <c:pt idx="2">
                  <c:v>6.8410000000000002</c:v>
                </c:pt>
                <c:pt idx="3">
                  <c:v>6.8879999999999999</c:v>
                </c:pt>
                <c:pt idx="4">
                  <c:v>7.6870000000000003</c:v>
                </c:pt>
                <c:pt idx="5">
                  <c:v>6.4950000000000001</c:v>
                </c:pt>
                <c:pt idx="6">
                  <c:v>8.3810000000000002</c:v>
                </c:pt>
                <c:pt idx="7">
                  <c:v>10.358000000000001</c:v>
                </c:pt>
                <c:pt idx="8">
                  <c:v>10.542</c:v>
                </c:pt>
                <c:pt idx="9">
                  <c:v>10.837999999999999</c:v>
                </c:pt>
                <c:pt idx="10">
                  <c:v>10.635999999999999</c:v>
                </c:pt>
                <c:pt idx="11">
                  <c:v>10.227</c:v>
                </c:pt>
                <c:pt idx="12">
                  <c:v>10.285</c:v>
                </c:pt>
                <c:pt idx="13">
                  <c:v>10.965</c:v>
                </c:pt>
                <c:pt idx="14">
                  <c:v>14.026</c:v>
                </c:pt>
                <c:pt idx="15">
                  <c:v>11.879</c:v>
                </c:pt>
                <c:pt idx="16">
                  <c:v>9.7889999999999997</c:v>
                </c:pt>
                <c:pt idx="17">
                  <c:v>9.2100000000000009</c:v>
                </c:pt>
                <c:pt idx="18">
                  <c:v>9.7129999999999992</c:v>
                </c:pt>
                <c:pt idx="19">
                  <c:v>9.9009999999999998</c:v>
                </c:pt>
                <c:pt idx="20">
                  <c:v>10.304</c:v>
                </c:pt>
                <c:pt idx="21">
                  <c:v>10.898999999999999</c:v>
                </c:pt>
                <c:pt idx="22">
                  <c:v>10.919</c:v>
                </c:pt>
                <c:pt idx="23">
                  <c:v>10.956</c:v>
                </c:pt>
                <c:pt idx="24">
                  <c:v>13.73</c:v>
                </c:pt>
                <c:pt idx="25">
                  <c:v>13.148</c:v>
                </c:pt>
                <c:pt idx="26">
                  <c:v>11.968999999999999</c:v>
                </c:pt>
                <c:pt idx="27">
                  <c:v>10.465</c:v>
                </c:pt>
                <c:pt idx="28">
                  <c:v>9.3879999999999999</c:v>
                </c:pt>
                <c:pt idx="29">
                  <c:v>8.8000000000000007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CB-4FDE-8144-1561233D846C}"/>
            </c:ext>
          </c:extLst>
        </c:ser>
        <c:ser>
          <c:idx val="3"/>
          <c:order val="3"/>
          <c:tx>
            <c:strRef>
              <c:f>'Clean Data'!$C$5</c:f>
              <c:strCache>
                <c:ptCount val="1"/>
                <c:pt idx="0">
                  <c:v>GDP Growth Rate (%)</c:v>
                </c:pt>
              </c:strCache>
            </c:strRef>
          </c:tx>
          <c:spPr>
            <a:ln w="25400" cap="rnd">
              <a:solidFill>
                <a:schemeClr val="accent6">
                  <a:lumMod val="75000"/>
                  <a:alpha val="78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'Clean Data'!$C$6:$C$35</c:f>
              <c:numCache>
                <c:formatCode>0.00</c:formatCode>
                <c:ptCount val="30"/>
                <c:pt idx="0">
                  <c:v>7.8782668761899117</c:v>
                </c:pt>
                <c:pt idx="1">
                  <c:v>7.1577984793084681</c:v>
                </c:pt>
                <c:pt idx="2">
                  <c:v>7.3578623747848013</c:v>
                </c:pt>
                <c:pt idx="3">
                  <c:v>1.9085706434515117</c:v>
                </c:pt>
                <c:pt idx="4">
                  <c:v>-3.0527705575943429</c:v>
                </c:pt>
                <c:pt idx="5">
                  <c:v>6.9852869781706204</c:v>
                </c:pt>
                <c:pt idx="6">
                  <c:v>-5.4594083856306241</c:v>
                </c:pt>
                <c:pt idx="7">
                  <c:v>6.4355088379311383</c:v>
                </c:pt>
                <c:pt idx="8">
                  <c:v>5.7990932103852515</c:v>
                </c:pt>
                <c:pt idx="9">
                  <c:v>9.925405519186242</c:v>
                </c:pt>
                <c:pt idx="10">
                  <c:v>9.1115774586163525</c:v>
                </c:pt>
                <c:pt idx="11">
                  <c:v>7.0676260762393923</c:v>
                </c:pt>
                <c:pt idx="12">
                  <c:v>5.1081851390360384</c:v>
                </c:pt>
                <c:pt idx="13">
                  <c:v>0.9201182213658825</c:v>
                </c:pt>
                <c:pt idx="14">
                  <c:v>-4.8826940170663278</c:v>
                </c:pt>
                <c:pt idx="15">
                  <c:v>8.5421984846768595</c:v>
                </c:pt>
                <c:pt idx="16">
                  <c:v>10.979962527359845</c:v>
                </c:pt>
                <c:pt idx="17">
                  <c:v>4.8076269663344817</c:v>
                </c:pt>
                <c:pt idx="18">
                  <c:v>8.4882568929851061</c:v>
                </c:pt>
                <c:pt idx="19">
                  <c:v>4.6007944727055872</c:v>
                </c:pt>
                <c:pt idx="20">
                  <c:v>5.805573866286835</c:v>
                </c:pt>
                <c:pt idx="21">
                  <c:v>3.3236650820044531</c:v>
                </c:pt>
                <c:pt idx="22">
                  <c:v>7.8258573000259446</c:v>
                </c:pt>
                <c:pt idx="23">
                  <c:v>3.4681530609221909</c:v>
                </c:pt>
                <c:pt idx="24">
                  <c:v>1.3016236546450273</c:v>
                </c:pt>
                <c:pt idx="25">
                  <c:v>1.8030624708725469</c:v>
                </c:pt>
                <c:pt idx="26">
                  <c:v>11.811094450607001</c:v>
                </c:pt>
                <c:pt idx="27">
                  <c:v>5.4412251132240073</c:v>
                </c:pt>
                <c:pt idx="28">
                  <c:v>5.0451236981228931</c:v>
                </c:pt>
                <c:pt idx="29">
                  <c:v>3.3276230893798981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CB-4FDE-8144-1561233D8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4712096"/>
        <c:axId val="764709576"/>
      </c:lineChart>
      <c:catAx>
        <c:axId val="76471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709576"/>
        <c:crosses val="autoZero"/>
        <c:auto val="1"/>
        <c:lblAlgn val="ctr"/>
        <c:lblOffset val="110"/>
        <c:noMultiLvlLbl val="0"/>
      </c:catAx>
      <c:valAx>
        <c:axId val="76470957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71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351073303337086"/>
          <c:y val="5.6711869349664615E-2"/>
          <c:w val="0.29581161566801073"/>
          <c:h val="0.296400074183810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Data'!$G$5</c:f>
              <c:strCache>
                <c:ptCount val="1"/>
                <c:pt idx="0">
                  <c:v>Residuals (e)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594-423E-A3EB-4A348580A0C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594-423E-A3EB-4A348580A0C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594-423E-A3EB-4A348580A0C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594-423E-A3EB-4A348580A0CC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594-423E-A3EB-4A348580A0CC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594-423E-A3EB-4A348580A0CC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594-423E-A3EB-4A348580A0CC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594-423E-A3EB-4A348580A0CC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594-423E-A3EB-4A348580A0CC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594-423E-A3EB-4A348580A0CC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594-423E-A3EB-4A348580A0CC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594-423E-A3EB-4A348580A0CC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594-423E-A3EB-4A348580A0CC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94-423E-A3EB-4A348580A0CC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594-423E-A3EB-4A348580A0CC}"/>
              </c:ext>
            </c:extLst>
          </c:dPt>
          <c:cat>
            <c:strRef>
              <c:f>'Clean Data'!$B$6:$B$35</c:f>
              <c:strCache>
                <c:ptCount val="30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strCache>
            </c:strRef>
          </c:cat>
          <c:val>
            <c:numRef>
              <c:f>'Clean Data'!$G$6:$G$35</c:f>
              <c:numCache>
                <c:formatCode>0.00</c:formatCode>
                <c:ptCount val="30"/>
                <c:pt idx="0">
                  <c:v>4.3224779629303214</c:v>
                </c:pt>
                <c:pt idx="1">
                  <c:v>1.14231412389766</c:v>
                </c:pt>
                <c:pt idx="2">
                  <c:v>2.8466297788897581</c:v>
                </c:pt>
                <c:pt idx="3">
                  <c:v>-1.8206801887811626</c:v>
                </c:pt>
                <c:pt idx="4">
                  <c:v>-5.3374318687843623</c:v>
                </c:pt>
                <c:pt idx="5">
                  <c:v>1.5861539414809345</c:v>
                </c:pt>
                <c:pt idx="6">
                  <c:v>-6.7239401352169796</c:v>
                </c:pt>
                <c:pt idx="7">
                  <c:v>5.9789096992516058</c:v>
                </c:pt>
                <c:pt idx="8">
                  <c:v>3.5204791562896709</c:v>
                </c:pt>
                <c:pt idx="9">
                  <c:v>6.1350087212325075</c:v>
                </c:pt>
                <c:pt idx="10">
                  <c:v>3.9667425435690227</c:v>
                </c:pt>
                <c:pt idx="11">
                  <c:v>0.35668045965770467</c:v>
                </c:pt>
                <c:pt idx="12">
                  <c:v>-1.3093355566187199</c:v>
                </c:pt>
                <c:pt idx="13">
                  <c:v>-4.6990065422604239</c:v>
                </c:pt>
                <c:pt idx="14">
                  <c:v>-4.5015100766063121</c:v>
                </c:pt>
                <c:pt idx="15">
                  <c:v>4.4355323994100289</c:v>
                </c:pt>
                <c:pt idx="16">
                  <c:v>2.7544237508438041</c:v>
                </c:pt>
                <c:pt idx="17">
                  <c:v>-2.770735272361545</c:v>
                </c:pt>
                <c:pt idx="18">
                  <c:v>0.50968600432111622</c:v>
                </c:pt>
                <c:pt idx="19">
                  <c:v>-2.5522944922794437</c:v>
                </c:pt>
                <c:pt idx="20">
                  <c:v>-0.89139638499531237</c:v>
                </c:pt>
                <c:pt idx="21">
                  <c:v>-2.5803789829608483</c:v>
                </c:pt>
                <c:pt idx="22">
                  <c:v>0.79253955573114609</c:v>
                </c:pt>
                <c:pt idx="23">
                  <c:v>-2.5414918404042677</c:v>
                </c:pt>
                <c:pt idx="24">
                  <c:v>0.14440685877376325</c:v>
                </c:pt>
                <c:pt idx="25">
                  <c:v>-3.2378896699267923</c:v>
                </c:pt>
                <c:pt idx="26">
                  <c:v>5.7679123212217114</c:v>
                </c:pt>
                <c:pt idx="27">
                  <c:v>-1.0424903512474764</c:v>
                </c:pt>
                <c:pt idx="28">
                  <c:v>-1.9553358794929405</c:v>
                </c:pt>
                <c:pt idx="29">
                  <c:v>-2.2959800355641811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9-40C0-93E2-33062E979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2943312"/>
        <c:axId val="782937552"/>
      </c:barChart>
      <c:catAx>
        <c:axId val="78294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37552"/>
        <c:crosses val="autoZero"/>
        <c:auto val="1"/>
        <c:lblAlgn val="ctr"/>
        <c:lblOffset val="100"/>
        <c:noMultiLvlLbl val="0"/>
      </c:catAx>
      <c:valAx>
        <c:axId val="78293755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94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'Regression Output'!$B$20</c:f>
              <c:strCache>
                <c:ptCount val="1"/>
                <c:pt idx="0">
                  <c:v>Inflation Rate (X₁)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'Regression Output'!$C$20</c:f>
              <c:numCache>
                <c:formatCode>0.000</c:formatCode>
                <c:ptCount val="1"/>
                <c:pt idx="0">
                  <c:v>-6.0915341070490236E-2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A-4099-A2AC-ED9BEEA6F685}"/>
            </c:ext>
          </c:extLst>
        </c:ser>
        <c:ser>
          <c:idx val="1"/>
          <c:order val="1"/>
          <c:tx>
            <c:strRef>
              <c:f>'Regression Output'!$B$21</c:f>
              <c:strCache>
                <c:ptCount val="1"/>
                <c:pt idx="0">
                  <c:v>GCF (% of GDP) (X₂)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'Regression Output'!$C$21</c:f>
              <c:numCache>
                <c:formatCode>0.000</c:formatCode>
                <c:ptCount val="1"/>
                <c:pt idx="0">
                  <c:v>0.45765677360711587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A-4099-A2AC-ED9BEEA6F685}"/>
            </c:ext>
          </c:extLst>
        </c:ser>
        <c:ser>
          <c:idx val="2"/>
          <c:order val="2"/>
          <c:tx>
            <c:strRef>
              <c:f>'Regression Output'!$B$22</c:f>
              <c:strCache>
                <c:ptCount val="1"/>
                <c:pt idx="0">
                  <c:v>Unemployment (X₃)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'Regression Output'!$C$22</c:f>
              <c:numCache>
                <c:formatCode>0.000</c:formatCode>
                <c:ptCount val="1"/>
                <c:pt idx="0">
                  <c:v>-1.1419337470006834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DA-4099-A2AC-ED9BEEA6F6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3585760"/>
        <c:axId val="703582880"/>
      </c:barChart>
      <c:catAx>
        <c:axId val="703585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3582880"/>
        <c:crosses val="autoZero"/>
        <c:auto val="1"/>
        <c:lblAlgn val="ctr"/>
        <c:lblOffset val="100"/>
        <c:noMultiLvlLbl val="0"/>
      </c:catAx>
      <c:valAx>
        <c:axId val="703582880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5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470648</xdr:colOff>
      <xdr:row>2</xdr:row>
      <xdr:rowOff>44824</xdr:rowOff>
    </xdr:from>
    <xdr:to>
      <xdr:col>2</xdr:col>
      <xdr:colOff>676276</xdr:colOff>
      <xdr:row>6</xdr:row>
      <xdr:rowOff>140074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128C65A-D9DB-4751-9CFC-557DBCE73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6373" y="435349"/>
          <a:ext cx="672353" cy="857250"/>
        </a:xfrm>
        <a:prstGeom prst="rect">
          <a:avLst/>
        </a:prstGeom>
      </xdr:spPr>
    </xdr:pic>
    <xdr:clientData/>
  </xdr:twoCellAnchor>
  <xdr:oneCellAnchor>
    <xdr:from>
      <xdr:col>2</xdr:col>
      <xdr:colOff>1000083</xdr:colOff>
      <xdr:row>2</xdr:row>
      <xdr:rowOff>117229</xdr:rowOff>
    </xdr:from>
    <xdr:ext cx="8715416" cy="65588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B298E6-9ECF-4BF2-AA1F-97637CA81924}"/>
            </a:ext>
          </a:extLst>
        </xdr:cNvPr>
        <xdr:cNvSpPr txBox="1"/>
      </xdr:nvSpPr>
      <xdr:spPr>
        <a:xfrm>
          <a:off x="1483660" y="512883"/>
          <a:ext cx="8715416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3600">
              <a:solidFill>
                <a:schemeClr val="bg1"/>
              </a:solidFill>
            </a:rPr>
            <a:t>University</a:t>
          </a:r>
          <a:r>
            <a:rPr lang="en-US" sz="3600" baseline="0">
              <a:solidFill>
                <a:schemeClr val="bg1"/>
              </a:solidFill>
            </a:rPr>
            <a:t> of Jordan</a:t>
          </a:r>
          <a:endParaRPr lang="en-US" sz="36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11</xdr:col>
      <xdr:colOff>1463896</xdr:colOff>
      <xdr:row>18</xdr:row>
      <xdr:rowOff>219808</xdr:rowOff>
    </xdr:from>
    <xdr:to>
      <xdr:col>11</xdr:col>
      <xdr:colOff>1788829</xdr:colOff>
      <xdr:row>20</xdr:row>
      <xdr:rowOff>14654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2E64CB-3D06-EB4C-58FD-1E0756414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9242" y="4117731"/>
          <a:ext cx="324933" cy="2637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0</xdr:row>
      <xdr:rowOff>47625</xdr:rowOff>
    </xdr:from>
    <xdr:ext cx="590843" cy="609600"/>
    <xdr:pic>
      <xdr:nvPicPr>
        <xdr:cNvPr id="3" name="Graphic 2">
          <a:extLst>
            <a:ext uri="{FF2B5EF4-FFF2-40B4-BE49-F238E27FC236}">
              <a16:creationId xmlns:a16="http://schemas.microsoft.com/office/drawing/2014/main" id="{DDBF2929-D150-403A-9732-FD46DB130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52500" y="47625"/>
          <a:ext cx="590843" cy="6096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704850</xdr:colOff>
      <xdr:row>0</xdr:row>
      <xdr:rowOff>19049</xdr:rowOff>
    </xdr:from>
    <xdr:ext cx="563148" cy="581026"/>
    <xdr:pic>
      <xdr:nvPicPr>
        <xdr:cNvPr id="2" name="Graphic 1">
          <a:extLst>
            <a:ext uri="{FF2B5EF4-FFF2-40B4-BE49-F238E27FC236}">
              <a16:creationId xmlns:a16="http://schemas.microsoft.com/office/drawing/2014/main" id="{CAE2CCCE-43D2-49CC-8D76-97DDDF669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76350" y="19049"/>
          <a:ext cx="563148" cy="58102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0</xdr:row>
      <xdr:rowOff>66674</xdr:rowOff>
    </xdr:from>
    <xdr:ext cx="498525" cy="514351"/>
    <xdr:pic>
      <xdr:nvPicPr>
        <xdr:cNvPr id="2" name="Graphic 1">
          <a:extLst>
            <a:ext uri="{FF2B5EF4-FFF2-40B4-BE49-F238E27FC236}">
              <a16:creationId xmlns:a16="http://schemas.microsoft.com/office/drawing/2014/main" id="{ECE38ABD-42CB-4D61-9072-830B8F95F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47750" y="66674"/>
          <a:ext cx="498525" cy="51435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66674</xdr:rowOff>
    </xdr:from>
    <xdr:ext cx="498525" cy="514351"/>
    <xdr:pic>
      <xdr:nvPicPr>
        <xdr:cNvPr id="2" name="Graphic 1">
          <a:extLst>
            <a:ext uri="{FF2B5EF4-FFF2-40B4-BE49-F238E27FC236}">
              <a16:creationId xmlns:a16="http://schemas.microsoft.com/office/drawing/2014/main" id="{213468E4-62D3-4304-B51C-E1F46A1B6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6750" y="66674"/>
          <a:ext cx="498525" cy="51435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66674</xdr:rowOff>
    </xdr:from>
    <xdr:ext cx="498525" cy="514351"/>
    <xdr:pic>
      <xdr:nvPicPr>
        <xdr:cNvPr id="2" name="Graphic 1">
          <a:extLst>
            <a:ext uri="{FF2B5EF4-FFF2-40B4-BE49-F238E27FC236}">
              <a16:creationId xmlns:a16="http://schemas.microsoft.com/office/drawing/2014/main" id="{48283DB2-F08B-4904-84C9-FBDCB5738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6750" y="66674"/>
          <a:ext cx="498525" cy="51435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66674</xdr:rowOff>
    </xdr:from>
    <xdr:ext cx="498525" cy="514351"/>
    <xdr:pic>
      <xdr:nvPicPr>
        <xdr:cNvPr id="2" name="Graphic 1">
          <a:extLst>
            <a:ext uri="{FF2B5EF4-FFF2-40B4-BE49-F238E27FC236}">
              <a16:creationId xmlns:a16="http://schemas.microsoft.com/office/drawing/2014/main" id="{4EF3F8C3-4A9B-4554-96C0-377C368AD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6750" y="66674"/>
          <a:ext cx="498525" cy="51435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66674</xdr:rowOff>
    </xdr:from>
    <xdr:ext cx="498525" cy="514351"/>
    <xdr:pic>
      <xdr:nvPicPr>
        <xdr:cNvPr id="2" name="Graphic 1">
          <a:extLst>
            <a:ext uri="{FF2B5EF4-FFF2-40B4-BE49-F238E27FC236}">
              <a16:creationId xmlns:a16="http://schemas.microsoft.com/office/drawing/2014/main" id="{369B182B-0841-41FF-81CD-1C0989E15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66750" y="66674"/>
          <a:ext cx="498525" cy="514351"/>
        </a:xfrm>
        <a:prstGeom prst="rect">
          <a:avLst/>
        </a:prstGeom>
      </xdr:spPr>
    </xdr:pic>
    <xdr:clientData/>
  </xdr:oneCellAnchor>
  <xdr:twoCellAnchor>
    <xdr:from>
      <xdr:col>0</xdr:col>
      <xdr:colOff>609597</xdr:colOff>
      <xdr:row>4</xdr:row>
      <xdr:rowOff>0</xdr:rowOff>
    </xdr:from>
    <xdr:to>
      <xdr:col>8</xdr:col>
      <xdr:colOff>0</xdr:colOff>
      <xdr:row>18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958A94-9B3C-4923-8B32-9266E8665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15</xdr:col>
      <xdr:colOff>0</xdr:colOff>
      <xdr:row>18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9082098-726D-420B-BE4A-BA5DA8ACD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8</xdr:col>
      <xdr:colOff>0</xdr:colOff>
      <xdr:row>34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90048C-2F3C-4EB4-A94C-9755FD350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15</xdr:col>
      <xdr:colOff>0</xdr:colOff>
      <xdr:row>34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9AA5991-85A0-4F06-B2D7-6F5383D7D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60D6-635B-4F9B-AAB9-DEE905F99EE7}">
  <sheetPr>
    <tabColor theme="7"/>
    <pageSetUpPr fitToPage="1"/>
  </sheetPr>
  <dimension ref="A1:M32"/>
  <sheetViews>
    <sheetView showGridLines="0" tabSelected="1" zoomScale="65" zoomScaleNormal="65" workbookViewId="0"/>
  </sheetViews>
  <sheetFormatPr defaultRowHeight="15" x14ac:dyDescent="0.3"/>
  <cols>
    <col min="1" max="1" width="3.28515625" customWidth="1"/>
    <col min="2" max="2" width="3.85546875" customWidth="1"/>
    <col min="3" max="3" width="31.85546875" customWidth="1"/>
    <col min="11" max="11" width="10.42578125" customWidth="1"/>
    <col min="12" max="12" width="47.85546875" customWidth="1"/>
    <col min="13" max="13" width="21.28515625" customWidth="1"/>
  </cols>
  <sheetData>
    <row r="1" spans="1:13" ht="15.75" thickTop="1" x14ac:dyDescent="0.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x14ac:dyDescent="0.3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 x14ac:dyDescent="0.3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3" x14ac:dyDescent="0.3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 spans="1:13" ht="15.75" x14ac:dyDescent="0.3">
      <c r="B5" s="4"/>
      <c r="C5" s="7"/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x14ac:dyDescent="0.3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6"/>
    </row>
    <row r="7" spans="1:13" x14ac:dyDescent="0.3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6"/>
    </row>
    <row r="8" spans="1:13" x14ac:dyDescent="0.3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6"/>
    </row>
    <row r="9" spans="1:13" x14ac:dyDescent="0.3">
      <c r="A9" t="s">
        <v>0</v>
      </c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6"/>
    </row>
    <row r="10" spans="1:13" x14ac:dyDescent="0.3">
      <c r="B10" s="8"/>
      <c r="M10" s="9"/>
    </row>
    <row r="11" spans="1:13" ht="30" x14ac:dyDescent="0.3">
      <c r="B11" s="10"/>
      <c r="C11" s="11" t="s">
        <v>2</v>
      </c>
      <c r="M11" s="9"/>
    </row>
    <row r="12" spans="1:13" x14ac:dyDescent="0.3">
      <c r="B12" s="8"/>
      <c r="M12" s="9"/>
    </row>
    <row r="13" spans="1:13" ht="21" x14ac:dyDescent="0.3">
      <c r="B13" s="8"/>
      <c r="C13" s="12" t="s">
        <v>1</v>
      </c>
      <c r="K13" s="13" t="s">
        <v>11</v>
      </c>
      <c r="L13" s="14"/>
      <c r="M13" s="9"/>
    </row>
    <row r="14" spans="1:13" x14ac:dyDescent="0.3">
      <c r="B14" s="8"/>
      <c r="M14" s="9"/>
    </row>
    <row r="15" spans="1:13" ht="18.75" x14ac:dyDescent="0.3">
      <c r="B15" s="8"/>
      <c r="C15" s="82" t="s">
        <v>4</v>
      </c>
      <c r="K15" s="26" t="s">
        <v>210</v>
      </c>
      <c r="L15" s="27"/>
      <c r="M15" s="9"/>
    </row>
    <row r="16" spans="1:13" ht="18.75" x14ac:dyDescent="0.3">
      <c r="B16" s="8"/>
      <c r="C16" s="82" t="s">
        <v>5</v>
      </c>
      <c r="F16" s="15"/>
      <c r="K16" s="26" t="s">
        <v>211</v>
      </c>
      <c r="L16" s="28"/>
      <c r="M16" s="9"/>
    </row>
    <row r="17" spans="2:13" ht="18.75" x14ac:dyDescent="0.3">
      <c r="B17" s="8"/>
      <c r="C17" s="82" t="s">
        <v>6</v>
      </c>
      <c r="K17" s="26" t="s">
        <v>212</v>
      </c>
      <c r="L17" s="28"/>
      <c r="M17" s="9"/>
    </row>
    <row r="18" spans="2:13" ht="18.75" x14ac:dyDescent="0.3">
      <c r="B18" s="8"/>
      <c r="C18" s="82" t="s">
        <v>7</v>
      </c>
      <c r="K18" s="26" t="s">
        <v>213</v>
      </c>
      <c r="L18" s="28"/>
      <c r="M18" s="9"/>
    </row>
    <row r="19" spans="2:13" ht="18.75" x14ac:dyDescent="0.3">
      <c r="B19" s="8"/>
      <c r="C19" s="82" t="s">
        <v>8</v>
      </c>
      <c r="K19" s="26" t="s">
        <v>214</v>
      </c>
      <c r="L19" s="28"/>
      <c r="M19" s="9"/>
    </row>
    <row r="20" spans="2:13" ht="18.75" x14ac:dyDescent="0.3">
      <c r="B20" s="8"/>
      <c r="C20" s="82" t="s">
        <v>9</v>
      </c>
      <c r="E20" s="23"/>
      <c r="K20" s="29" t="s">
        <v>215</v>
      </c>
      <c r="L20" s="30"/>
      <c r="M20" s="9"/>
    </row>
    <row r="21" spans="2:13" s="19" customFormat="1" ht="18.75" x14ac:dyDescent="0.3">
      <c r="B21" s="20"/>
      <c r="C21" s="82" t="s">
        <v>10</v>
      </c>
      <c r="E21" s="21"/>
      <c r="K21" s="26" t="s">
        <v>216</v>
      </c>
      <c r="L21" s="31"/>
      <c r="M21" s="22"/>
    </row>
    <row r="22" spans="2:13" s="19" customFormat="1" ht="18.75" x14ac:dyDescent="0.3">
      <c r="B22" s="20"/>
      <c r="C22" s="82" t="s">
        <v>136</v>
      </c>
      <c r="E22" s="21"/>
      <c r="K22" s="26" t="s">
        <v>217</v>
      </c>
      <c r="L22" s="31"/>
      <c r="M22" s="22"/>
    </row>
    <row r="23" spans="2:13" s="19" customFormat="1" ht="18.75" x14ac:dyDescent="0.3">
      <c r="B23" s="20"/>
      <c r="E23" s="21"/>
      <c r="K23" s="26" t="s">
        <v>218</v>
      </c>
      <c r="L23" s="31"/>
      <c r="M23" s="22"/>
    </row>
    <row r="24" spans="2:13" s="19" customFormat="1" ht="18.75" x14ac:dyDescent="0.35">
      <c r="B24" s="20"/>
      <c r="C24" s="24"/>
      <c r="D24" s="24"/>
      <c r="E24" s="24"/>
      <c r="F24" s="24"/>
      <c r="G24" s="24"/>
      <c r="H24" s="24"/>
      <c r="K24" s="102" t="s">
        <v>3</v>
      </c>
      <c r="L24" s="31"/>
      <c r="M24" s="22"/>
    </row>
    <row r="25" spans="2:13" ht="18" x14ac:dyDescent="0.35">
      <c r="B25" s="8"/>
      <c r="C25" s="33" t="s">
        <v>13</v>
      </c>
      <c r="D25" s="25"/>
      <c r="E25" s="25"/>
      <c r="F25" s="25"/>
      <c r="G25" s="25"/>
      <c r="H25" s="25"/>
      <c r="K25" s="28"/>
      <c r="L25" s="28"/>
      <c r="M25" s="9"/>
    </row>
    <row r="26" spans="2:13" ht="18" x14ac:dyDescent="0.35">
      <c r="B26" s="8"/>
      <c r="C26" s="33" t="s">
        <v>15</v>
      </c>
      <c r="D26" s="25"/>
      <c r="E26" s="25"/>
      <c r="F26" s="25"/>
      <c r="G26" s="25"/>
      <c r="H26" s="25"/>
      <c r="M26" s="9"/>
    </row>
    <row r="27" spans="2:13" ht="18" x14ac:dyDescent="0.35">
      <c r="B27" s="8"/>
      <c r="C27" s="33" t="s">
        <v>14</v>
      </c>
      <c r="D27" s="25"/>
      <c r="E27" s="25"/>
      <c r="F27" s="25"/>
      <c r="G27" s="25"/>
      <c r="H27" s="25"/>
      <c r="M27" s="9"/>
    </row>
    <row r="28" spans="2:13" ht="18" x14ac:dyDescent="0.35">
      <c r="B28" s="8"/>
      <c r="C28" s="33" t="s">
        <v>12</v>
      </c>
      <c r="D28" s="25"/>
      <c r="E28" s="25"/>
      <c r="F28" s="25"/>
      <c r="G28" s="25"/>
      <c r="H28" s="25"/>
      <c r="M28" s="9"/>
    </row>
    <row r="29" spans="2:13" ht="18" x14ac:dyDescent="0.35">
      <c r="B29" s="8"/>
      <c r="C29" s="24"/>
      <c r="D29" s="24"/>
      <c r="E29" s="24"/>
      <c r="F29" s="24"/>
      <c r="G29" s="24"/>
      <c r="H29" s="24"/>
      <c r="M29" s="9"/>
    </row>
    <row r="30" spans="2:13" x14ac:dyDescent="0.3">
      <c r="B30" s="8"/>
      <c r="M30" s="9"/>
    </row>
    <row r="31" spans="2:13" ht="15.75" thickBot="1" x14ac:dyDescent="0.35"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8"/>
    </row>
    <row r="32" spans="2:13" ht="15.75" thickTop="1" x14ac:dyDescent="0.3"/>
  </sheetData>
  <hyperlinks>
    <hyperlink ref="C15" location="'Raw Data'!A1" display="Raw Data" xr:uid="{17BA0921-00E0-4415-A3C9-CD6923B04588}"/>
    <hyperlink ref="C16" location="'Clean Data'!A1" display="Clean Data" xr:uid="{745C2D86-2985-449F-8B23-A93A70A97BEC}"/>
    <hyperlink ref="C17" location="'Descriptive Statistics'!A1" display="Descriptive Statistics" xr:uid="{A31EABE6-510F-428C-A6DA-5C78BF094B89}"/>
    <hyperlink ref="C18" location="'Correlation Matrix'!A1" display="Correlation Matrix" xr:uid="{71735227-6349-4604-BEFC-4F158CAD023C}"/>
    <hyperlink ref="C19" location="'Regression Output'!A1" display="Regression Output" xr:uid="{6B96B94F-4AB4-46DB-8780-39990F1F4694}"/>
    <hyperlink ref="C20" location="'White''s Test'!A1" display="White's Test" xr:uid="{94AE4AB7-A83D-41C5-9D3D-0428C40FD59D}"/>
    <hyperlink ref="C21" location="'Durbin-Watson Test'!A1" display="Durbin-Watson Test" xr:uid="{BB61D1B0-E3DA-4F7E-AA81-A9E605027663}"/>
    <hyperlink ref="C22" location="'Charts &amp; Graphs'!A1" display="Charts &amp; Graphs" xr:uid="{0BA5CC22-2F12-4C44-A7FA-4A052761D4BD}"/>
  </hyperlinks>
  <pageMargins left="0.25" right="0.25" top="0.75" bottom="0.75" header="0.3" footer="0.3"/>
  <pageSetup paperSize="138" scale="64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C1B1-B24F-41BA-B825-ED0DEC8B4B44}">
  <sheetPr>
    <tabColor theme="0" tint="-0.249977111117893"/>
    <pageSetUpPr fitToPage="1"/>
  </sheetPr>
  <dimension ref="A1:BT39"/>
  <sheetViews>
    <sheetView showGridLines="0" workbookViewId="0"/>
  </sheetViews>
  <sheetFormatPr defaultRowHeight="15" x14ac:dyDescent="0.3"/>
  <cols>
    <col min="1" max="1" width="14.42578125" bestFit="1" customWidth="1"/>
    <col min="2" max="2" width="21" bestFit="1" customWidth="1"/>
    <col min="3" max="3" width="33.140625" bestFit="1" customWidth="1"/>
    <col min="4" max="4" width="31" bestFit="1" customWidth="1"/>
    <col min="5" max="5" width="60.7109375" bestFit="1" customWidth="1"/>
  </cols>
  <sheetData>
    <row r="1" spans="1:72" ht="15.75" x14ac:dyDescent="0.3">
      <c r="A1" s="32" t="s">
        <v>20</v>
      </c>
      <c r="B1" s="32" t="s">
        <v>16</v>
      </c>
      <c r="C1" s="32" t="s">
        <v>16</v>
      </c>
      <c r="D1" s="32" t="s">
        <v>16</v>
      </c>
      <c r="E1" s="32" t="s">
        <v>16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</row>
    <row r="2" spans="1:72" x14ac:dyDescent="0.3">
      <c r="A2" s="32" t="s">
        <v>21</v>
      </c>
      <c r="B2" s="32" t="s">
        <v>17</v>
      </c>
      <c r="C2" s="32" t="s">
        <v>17</v>
      </c>
      <c r="D2" s="32" t="s">
        <v>17</v>
      </c>
      <c r="E2" s="32" t="s">
        <v>17</v>
      </c>
    </row>
    <row r="3" spans="1:72" x14ac:dyDescent="0.3">
      <c r="A3" s="32" t="s">
        <v>22</v>
      </c>
      <c r="B3" s="32" t="s">
        <v>54</v>
      </c>
      <c r="C3" s="32" t="s">
        <v>18</v>
      </c>
      <c r="D3" s="32" t="s">
        <v>56</v>
      </c>
      <c r="E3" s="32" t="s">
        <v>58</v>
      </c>
    </row>
    <row r="4" spans="1:72" x14ac:dyDescent="0.3">
      <c r="A4" s="32" t="s">
        <v>23</v>
      </c>
      <c r="B4" s="32" t="s">
        <v>55</v>
      </c>
      <c r="C4" s="32" t="s">
        <v>19</v>
      </c>
      <c r="D4" s="32" t="s">
        <v>57</v>
      </c>
      <c r="E4" s="32" t="s">
        <v>59</v>
      </c>
    </row>
    <row r="5" spans="1:72" x14ac:dyDescent="0.3">
      <c r="A5" s="32" t="s">
        <v>24</v>
      </c>
      <c r="B5" s="32">
        <v>7.8782668761899117</v>
      </c>
      <c r="C5" s="32">
        <v>89.113317224849936</v>
      </c>
      <c r="D5" s="32">
        <v>27.402325269035561</v>
      </c>
      <c r="E5" s="32">
        <v>7.6440000000000001</v>
      </c>
    </row>
    <row r="6" spans="1:72" x14ac:dyDescent="0.3">
      <c r="A6" s="32" t="s">
        <v>25</v>
      </c>
      <c r="B6" s="32">
        <v>7.1577984793084681</v>
      </c>
      <c r="C6" s="32">
        <v>80.412151138804248</v>
      </c>
      <c r="D6" s="32">
        <v>29.086115903290665</v>
      </c>
      <c r="E6" s="32">
        <v>6.6289999999999996</v>
      </c>
    </row>
    <row r="7" spans="1:72" x14ac:dyDescent="0.3">
      <c r="A7" s="32" t="s">
        <v>26</v>
      </c>
      <c r="B7" s="32">
        <v>7.3578623747848013</v>
      </c>
      <c r="C7" s="32">
        <v>85.669361649977944</v>
      </c>
      <c r="D7" s="32">
        <v>27.027986125465688</v>
      </c>
      <c r="E7" s="32">
        <v>6.8410000000000002</v>
      </c>
    </row>
    <row r="8" spans="1:72" x14ac:dyDescent="0.3">
      <c r="A8" s="32" t="s">
        <v>27</v>
      </c>
      <c r="B8" s="32">
        <v>1.9085706434515117</v>
      </c>
      <c r="C8" s="32">
        <v>84.641343484631406</v>
      </c>
      <c r="D8" s="32">
        <v>25.299763141922408</v>
      </c>
      <c r="E8" s="32">
        <v>6.8879999999999999</v>
      </c>
    </row>
    <row r="9" spans="1:72" x14ac:dyDescent="0.3">
      <c r="A9" s="32" t="s">
        <v>28</v>
      </c>
      <c r="B9" s="32">
        <v>-3.0527705575943429</v>
      </c>
      <c r="C9" s="32">
        <v>64.867487635075733</v>
      </c>
      <c r="D9" s="32">
        <v>21.504963784195834</v>
      </c>
      <c r="E9" s="32">
        <v>7.6870000000000003</v>
      </c>
    </row>
    <row r="10" spans="1:72" x14ac:dyDescent="0.3">
      <c r="A10" s="32" t="s">
        <v>29</v>
      </c>
      <c r="B10" s="32">
        <v>6.9852869781706204</v>
      </c>
      <c r="C10" s="32">
        <v>54.915370581268348</v>
      </c>
      <c r="D10" s="32">
        <v>24.011318241331956</v>
      </c>
      <c r="E10" s="32">
        <v>6.4950000000000001</v>
      </c>
    </row>
    <row r="11" spans="1:72" x14ac:dyDescent="0.3">
      <c r="A11" s="32" t="s">
        <v>30</v>
      </c>
      <c r="B11" s="32">
        <v>-5.4594083856306241</v>
      </c>
      <c r="C11" s="32">
        <v>54.40018876190743</v>
      </c>
      <c r="D11" s="32">
        <v>19.614362197964791</v>
      </c>
      <c r="E11" s="32">
        <v>8.3810000000000002</v>
      </c>
    </row>
    <row r="12" spans="1:72" x14ac:dyDescent="0.3">
      <c r="A12" s="32" t="s">
        <v>31</v>
      </c>
      <c r="B12" s="32">
        <v>6.4355088379311383</v>
      </c>
      <c r="C12" s="32">
        <v>44.964120947984981</v>
      </c>
      <c r="D12" s="32">
        <v>21.525989356389008</v>
      </c>
      <c r="E12" s="32">
        <v>10.358000000000001</v>
      </c>
    </row>
    <row r="13" spans="1:72" x14ac:dyDescent="0.3">
      <c r="A13" s="32" t="s">
        <v>32</v>
      </c>
      <c r="B13" s="32">
        <v>5.7990932103852515</v>
      </c>
      <c r="C13" s="32">
        <v>21.602438449057281</v>
      </c>
      <c r="D13" s="32">
        <v>22.85678112564694</v>
      </c>
      <c r="E13" s="32">
        <v>10.542</v>
      </c>
    </row>
    <row r="14" spans="1:72" x14ac:dyDescent="0.3">
      <c r="A14" s="32" t="s">
        <v>33</v>
      </c>
      <c r="B14" s="32">
        <v>9.925405519186242</v>
      </c>
      <c r="C14" s="32">
        <v>8.5982616811526178</v>
      </c>
      <c r="D14" s="32">
        <v>25.167773403716986</v>
      </c>
      <c r="E14" s="32">
        <v>10.837999999999999</v>
      </c>
    </row>
    <row r="15" spans="1:72" x14ac:dyDescent="0.3">
      <c r="A15" s="32" t="s">
        <v>34</v>
      </c>
      <c r="B15" s="32">
        <v>9.1115774586163525</v>
      </c>
      <c r="C15" s="32">
        <v>8.179160368020078</v>
      </c>
      <c r="D15" s="32">
        <v>27.567470871561529</v>
      </c>
      <c r="E15" s="32">
        <v>10.635999999999999</v>
      </c>
    </row>
    <row r="16" spans="1:72" x14ac:dyDescent="0.3">
      <c r="A16" s="32" t="s">
        <v>35</v>
      </c>
      <c r="B16" s="32">
        <v>7.0676260762393923</v>
      </c>
      <c r="C16" s="32">
        <v>9.5972421228844649</v>
      </c>
      <c r="D16" s="32">
        <v>30.157714917183696</v>
      </c>
      <c r="E16" s="32">
        <v>10.227</v>
      </c>
    </row>
    <row r="17" spans="1:5" x14ac:dyDescent="0.3">
      <c r="A17" s="32" t="s">
        <v>36</v>
      </c>
      <c r="B17" s="32">
        <v>5.1081851390360384</v>
      </c>
      <c r="C17" s="32">
        <v>8.7561809097263232</v>
      </c>
      <c r="D17" s="32">
        <v>29.549341327370737</v>
      </c>
      <c r="E17" s="32">
        <v>10.285</v>
      </c>
    </row>
    <row r="18" spans="1:5" x14ac:dyDescent="0.3">
      <c r="A18" s="32" t="s">
        <v>37</v>
      </c>
      <c r="B18" s="32">
        <v>0.9201182213658825</v>
      </c>
      <c r="C18" s="32">
        <v>10.44412837648847</v>
      </c>
      <c r="D18" s="32">
        <v>29.726200747457419</v>
      </c>
      <c r="E18" s="32">
        <v>10.965</v>
      </c>
    </row>
    <row r="19" spans="1:5" x14ac:dyDescent="0.3">
      <c r="A19" s="32" t="s">
        <v>38</v>
      </c>
      <c r="B19" s="32">
        <v>-4.8826940170663278</v>
      </c>
      <c r="C19" s="32">
        <v>6.2509766309062647</v>
      </c>
      <c r="D19" s="32">
        <v>23.694875674949468</v>
      </c>
      <c r="E19" s="32">
        <v>14.026</v>
      </c>
    </row>
    <row r="20" spans="1:5" x14ac:dyDescent="0.3">
      <c r="A20" s="32" t="s">
        <v>39</v>
      </c>
      <c r="B20" s="32">
        <v>8.5421984846768595</v>
      </c>
      <c r="C20" s="32">
        <v>8.5664442055297592</v>
      </c>
      <c r="D20" s="32">
        <v>28.452077782551743</v>
      </c>
      <c r="E20" s="32">
        <v>11.879</v>
      </c>
    </row>
    <row r="21" spans="1:5" x14ac:dyDescent="0.3">
      <c r="A21" s="32" t="s">
        <v>40</v>
      </c>
      <c r="B21" s="32">
        <v>10.979962527359845</v>
      </c>
      <c r="C21" s="32">
        <v>6.471879671151</v>
      </c>
      <c r="D21" s="32">
        <v>31.958286232968963</v>
      </c>
      <c r="E21" s="32">
        <v>9.7889999999999997</v>
      </c>
    </row>
    <row r="22" spans="1:5" x14ac:dyDescent="0.3">
      <c r="A22" s="32" t="s">
        <v>41</v>
      </c>
      <c r="B22" s="32">
        <v>4.8076269663344817</v>
      </c>
      <c r="C22" s="32">
        <v>8.8915699651216258</v>
      </c>
      <c r="D22" s="32">
        <v>29.421538205313023</v>
      </c>
      <c r="E22" s="32">
        <v>9.2100000000000009</v>
      </c>
    </row>
    <row r="23" spans="1:5" x14ac:dyDescent="0.3">
      <c r="A23" s="32" t="s">
        <v>42</v>
      </c>
      <c r="B23" s="32">
        <v>8.4882568929851061</v>
      </c>
      <c r="C23" s="32">
        <v>7.4930903054769313</v>
      </c>
      <c r="D23" s="32">
        <v>31.36494319908558</v>
      </c>
      <c r="E23" s="32">
        <v>9.7129999999999992</v>
      </c>
    </row>
    <row r="24" spans="1:5" x14ac:dyDescent="0.3">
      <c r="A24" s="32" t="s">
        <v>43</v>
      </c>
      <c r="B24" s="32">
        <v>4.6007944727055872</v>
      </c>
      <c r="C24" s="32">
        <v>8.8545727136431598</v>
      </c>
      <c r="D24" s="32">
        <v>30.211539066491948</v>
      </c>
      <c r="E24" s="32">
        <v>9.9009999999999998</v>
      </c>
    </row>
    <row r="25" spans="1:5" x14ac:dyDescent="0.3">
      <c r="A25" s="32" t="s">
        <v>44</v>
      </c>
      <c r="B25" s="32">
        <v>5.805573866286835</v>
      </c>
      <c r="C25" s="32">
        <v>7.6708536484588477</v>
      </c>
      <c r="D25" s="32">
        <v>30.062899150790955</v>
      </c>
      <c r="E25" s="32">
        <v>10.304</v>
      </c>
    </row>
    <row r="26" spans="1:5" x14ac:dyDescent="0.3">
      <c r="A26" s="32" t="s">
        <v>45</v>
      </c>
      <c r="B26" s="32">
        <v>3.3236650820044531</v>
      </c>
      <c r="C26" s="32">
        <v>7.7751341532833012</v>
      </c>
      <c r="D26" s="32">
        <v>29.828830017521625</v>
      </c>
      <c r="E26" s="32">
        <v>10.898999999999999</v>
      </c>
    </row>
    <row r="27" spans="1:5" x14ac:dyDescent="0.3">
      <c r="A27" s="32" t="s">
        <v>46</v>
      </c>
      <c r="B27" s="32">
        <v>7.8258573000259446</v>
      </c>
      <c r="C27" s="32">
        <v>11.144311084076421</v>
      </c>
      <c r="D27" s="32">
        <v>32.794692197245077</v>
      </c>
      <c r="E27" s="32">
        <v>10.919</v>
      </c>
    </row>
    <row r="28" spans="1:5" x14ac:dyDescent="0.3">
      <c r="A28" s="32" t="s">
        <v>47</v>
      </c>
      <c r="B28" s="32">
        <v>3.4681530609221909</v>
      </c>
      <c r="C28" s="32">
        <v>16.33246389889289</v>
      </c>
      <c r="D28" s="32">
        <v>31.340800909141564</v>
      </c>
      <c r="E28" s="32">
        <v>10.956</v>
      </c>
    </row>
    <row r="29" spans="1:5" x14ac:dyDescent="0.3">
      <c r="A29" s="32" t="s">
        <v>48</v>
      </c>
      <c r="B29" s="32">
        <v>1.3016236546450273</v>
      </c>
      <c r="C29" s="32">
        <v>15.176821572002231</v>
      </c>
      <c r="D29" s="32">
        <v>27.505830383216306</v>
      </c>
      <c r="E29" s="32">
        <v>13.73</v>
      </c>
    </row>
    <row r="30" spans="1:5" x14ac:dyDescent="0.3">
      <c r="A30" s="32" t="s">
        <v>49</v>
      </c>
      <c r="B30" s="32">
        <v>1.8030624708725469</v>
      </c>
      <c r="C30" s="32">
        <v>12.27895744625741</v>
      </c>
      <c r="D30" s="32">
        <v>34.154056079947665</v>
      </c>
      <c r="E30" s="32">
        <v>13.148</v>
      </c>
    </row>
    <row r="31" spans="1:5" x14ac:dyDescent="0.3">
      <c r="A31" s="32" t="s">
        <v>50</v>
      </c>
      <c r="B31" s="32">
        <v>11.811094450607001</v>
      </c>
      <c r="C31" s="32">
        <v>19.596492691332401</v>
      </c>
      <c r="D31" s="32">
        <v>34.376144470162288</v>
      </c>
      <c r="E31" s="32">
        <v>11.968999999999999</v>
      </c>
    </row>
    <row r="32" spans="1:5" x14ac:dyDescent="0.3">
      <c r="A32" s="32" t="s">
        <v>51</v>
      </c>
      <c r="B32" s="32">
        <v>5.4412251132240073</v>
      </c>
      <c r="C32" s="32">
        <v>72.308835989120652</v>
      </c>
      <c r="D32" s="32">
        <v>38.602139717568008</v>
      </c>
      <c r="E32" s="32">
        <v>10.465</v>
      </c>
    </row>
    <row r="33" spans="1:5" x14ac:dyDescent="0.3">
      <c r="A33" s="32" t="s">
        <v>52</v>
      </c>
      <c r="B33" s="32">
        <v>5.0451236981228931</v>
      </c>
      <c r="C33" s="32">
        <v>53.859408759331508</v>
      </c>
      <c r="D33" s="32">
        <v>34.588276511404331</v>
      </c>
      <c r="E33" s="32">
        <v>9.3879999999999999</v>
      </c>
    </row>
    <row r="34" spans="1:5" x14ac:dyDescent="0.3">
      <c r="A34" s="32" t="s">
        <v>53</v>
      </c>
      <c r="B34" s="32">
        <v>3.3276230893798981</v>
      </c>
      <c r="C34" s="32">
        <v>58.506450730034153</v>
      </c>
      <c r="D34" s="32">
        <v>30.731155954920837</v>
      </c>
      <c r="E34" s="32">
        <v>8.8000000000000007</v>
      </c>
    </row>
    <row r="36" spans="1:5" ht="15.75" x14ac:dyDescent="0.3">
      <c r="D36" s="34"/>
    </row>
    <row r="37" spans="1:5" ht="15.75" x14ac:dyDescent="0.3">
      <c r="D37" s="34"/>
    </row>
    <row r="38" spans="1:5" ht="15.75" x14ac:dyDescent="0.3">
      <c r="D38" s="34"/>
    </row>
    <row r="39" spans="1:5" ht="15.75" x14ac:dyDescent="0.3">
      <c r="D39" s="34"/>
    </row>
  </sheetData>
  <pageMargins left="0.25" right="0.25" top="0.75" bottom="0.75" header="0.3" footer="0.3"/>
  <pageSetup scale="8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572D-8A4C-4313-B329-4094D0BEFAC8}">
  <sheetPr>
    <tabColor theme="0" tint="-0.249977111117893"/>
    <pageSetUpPr fitToPage="1"/>
  </sheetPr>
  <dimension ref="A1:BR3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3"/>
  <cols>
    <col min="1" max="1" width="8.28515625" customWidth="1"/>
    <col min="2" max="2" width="7.42578125" customWidth="1"/>
    <col min="3" max="3" width="19.140625" bestFit="1" customWidth="1"/>
    <col min="4" max="4" width="12.7109375" bestFit="1" customWidth="1"/>
    <col min="5" max="5" width="14" bestFit="1" customWidth="1"/>
    <col min="6" max="6" width="15" customWidth="1"/>
    <col min="7" max="7" width="15.5703125" customWidth="1"/>
    <col min="8" max="8" width="11.85546875" bestFit="1" customWidth="1"/>
  </cols>
  <sheetData>
    <row r="1" spans="1:70" ht="51" customHeight="1" x14ac:dyDescent="0.3">
      <c r="A1" s="34"/>
      <c r="B1" s="5"/>
      <c r="C1" s="35"/>
      <c r="D1" s="35"/>
      <c r="E1" s="36"/>
      <c r="F1" s="39" t="s">
        <v>60</v>
      </c>
      <c r="G1" s="5"/>
      <c r="H1" s="5"/>
      <c r="I1" s="5"/>
      <c r="J1" s="5"/>
      <c r="K1" s="5"/>
      <c r="L1" s="5"/>
      <c r="M1" s="5"/>
      <c r="N1" s="5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</row>
    <row r="2" spans="1:70" ht="18.75" x14ac:dyDescent="0.3">
      <c r="A2" s="34"/>
      <c r="B2" s="104" t="s">
        <v>205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</row>
    <row r="3" spans="1:70" x14ac:dyDescent="0.3">
      <c r="B3" s="103" t="s">
        <v>61</v>
      </c>
      <c r="C3" s="103"/>
      <c r="D3" s="103"/>
      <c r="E3" s="103"/>
      <c r="F3" s="103"/>
      <c r="G3" s="103"/>
      <c r="H3" s="103"/>
    </row>
    <row r="5" spans="1:70" ht="28.5" x14ac:dyDescent="0.3">
      <c r="B5" s="40" t="s">
        <v>62</v>
      </c>
      <c r="C5" s="40" t="s">
        <v>63</v>
      </c>
      <c r="D5" s="41" t="s">
        <v>64</v>
      </c>
      <c r="E5" s="40" t="s">
        <v>65</v>
      </c>
      <c r="F5" s="40" t="s">
        <v>66</v>
      </c>
      <c r="G5" s="40" t="s">
        <v>67</v>
      </c>
    </row>
    <row r="6" spans="1:70" x14ac:dyDescent="0.3">
      <c r="B6" s="42" t="s">
        <v>24</v>
      </c>
      <c r="C6" s="43">
        <v>7.8782668761899117</v>
      </c>
      <c r="D6" s="43">
        <v>89.113317224849936</v>
      </c>
      <c r="E6" s="43">
        <v>27.402325269035561</v>
      </c>
      <c r="F6" s="44">
        <v>7.6440000000000001</v>
      </c>
      <c r="G6" s="43">
        <f>'Regression Output'!D26</f>
        <v>4.3224779629303214</v>
      </c>
    </row>
    <row r="7" spans="1:70" x14ac:dyDescent="0.3">
      <c r="B7" s="45" t="s">
        <v>25</v>
      </c>
      <c r="C7" s="46">
        <v>7.1577984793084681</v>
      </c>
      <c r="D7" s="46">
        <v>80.412151138804248</v>
      </c>
      <c r="E7" s="46">
        <v>29.086115903290665</v>
      </c>
      <c r="F7" s="47">
        <v>6.6289999999999996</v>
      </c>
      <c r="G7" s="46">
        <f>'Regression Output'!D27</f>
        <v>1.14231412389766</v>
      </c>
    </row>
    <row r="8" spans="1:70" x14ac:dyDescent="0.3">
      <c r="B8" s="42" t="s">
        <v>26</v>
      </c>
      <c r="C8" s="43">
        <v>7.3578623747848013</v>
      </c>
      <c r="D8" s="43">
        <v>85.669361649977944</v>
      </c>
      <c r="E8" s="43">
        <v>27.027986125465688</v>
      </c>
      <c r="F8" s="44">
        <v>6.8410000000000002</v>
      </c>
      <c r="G8" s="43">
        <f>'Regression Output'!D28</f>
        <v>2.8466297788897581</v>
      </c>
    </row>
    <row r="9" spans="1:70" x14ac:dyDescent="0.3">
      <c r="B9" s="45" t="s">
        <v>27</v>
      </c>
      <c r="C9" s="46">
        <v>1.9085706434515117</v>
      </c>
      <c r="D9" s="46">
        <v>84.641343484631406</v>
      </c>
      <c r="E9" s="46">
        <v>25.299763141922408</v>
      </c>
      <c r="F9" s="47">
        <v>6.8879999999999999</v>
      </c>
      <c r="G9" s="46">
        <f>'Regression Output'!D29</f>
        <v>-1.8206801887811626</v>
      </c>
    </row>
    <row r="10" spans="1:70" x14ac:dyDescent="0.3">
      <c r="B10" s="42" t="s">
        <v>28</v>
      </c>
      <c r="C10" s="43">
        <v>-3.0527705575943429</v>
      </c>
      <c r="D10" s="43">
        <v>64.867487635075733</v>
      </c>
      <c r="E10" s="43">
        <v>21.504963784195834</v>
      </c>
      <c r="F10" s="44">
        <v>7.6870000000000003</v>
      </c>
      <c r="G10" s="43">
        <f>'Regression Output'!D30</f>
        <v>-5.3374318687843623</v>
      </c>
    </row>
    <row r="11" spans="1:70" x14ac:dyDescent="0.3">
      <c r="B11" s="45" t="s">
        <v>29</v>
      </c>
      <c r="C11" s="46">
        <v>6.9852869781706204</v>
      </c>
      <c r="D11" s="46">
        <v>54.915370581268348</v>
      </c>
      <c r="E11" s="46">
        <v>24.011318241331956</v>
      </c>
      <c r="F11" s="47">
        <v>6.4950000000000001</v>
      </c>
      <c r="G11" s="46">
        <f>'Regression Output'!D31</f>
        <v>1.5861539414809345</v>
      </c>
    </row>
    <row r="12" spans="1:70" x14ac:dyDescent="0.3">
      <c r="B12" s="42" t="s">
        <v>30</v>
      </c>
      <c r="C12" s="43">
        <v>-5.4594083856306241</v>
      </c>
      <c r="D12" s="43">
        <v>54.40018876190743</v>
      </c>
      <c r="E12" s="43">
        <v>19.614362197964791</v>
      </c>
      <c r="F12" s="44">
        <v>8.3810000000000002</v>
      </c>
      <c r="G12" s="43">
        <f>'Regression Output'!D32</f>
        <v>-6.7239401352169796</v>
      </c>
    </row>
    <row r="13" spans="1:70" x14ac:dyDescent="0.3">
      <c r="B13" s="45" t="s">
        <v>31</v>
      </c>
      <c r="C13" s="46">
        <v>6.4355088379311383</v>
      </c>
      <c r="D13" s="46">
        <v>44.964120947984981</v>
      </c>
      <c r="E13" s="46">
        <v>21.525989356389008</v>
      </c>
      <c r="F13" s="47">
        <v>10.358000000000001</v>
      </c>
      <c r="G13" s="46">
        <f>'Regression Output'!D33</f>
        <v>5.9789096992516058</v>
      </c>
    </row>
    <row r="14" spans="1:70" x14ac:dyDescent="0.3">
      <c r="B14" s="42" t="s">
        <v>32</v>
      </c>
      <c r="C14" s="43">
        <v>5.7990932103852515</v>
      </c>
      <c r="D14" s="43">
        <v>21.602438449057281</v>
      </c>
      <c r="E14" s="43">
        <v>22.85678112564694</v>
      </c>
      <c r="F14" s="44">
        <v>10.542</v>
      </c>
      <c r="G14" s="43">
        <f>'Regression Output'!D34</f>
        <v>3.5204791562896709</v>
      </c>
    </row>
    <row r="15" spans="1:70" x14ac:dyDescent="0.3">
      <c r="B15" s="45" t="s">
        <v>33</v>
      </c>
      <c r="C15" s="46">
        <v>9.925405519186242</v>
      </c>
      <c r="D15" s="46">
        <v>8.5982616811526178</v>
      </c>
      <c r="E15" s="46">
        <v>25.167773403716986</v>
      </c>
      <c r="F15" s="47">
        <v>10.837999999999999</v>
      </c>
      <c r="G15" s="46">
        <f>'Regression Output'!D35</f>
        <v>6.1350087212325075</v>
      </c>
    </row>
    <row r="16" spans="1:70" x14ac:dyDescent="0.3">
      <c r="B16" s="42" t="s">
        <v>34</v>
      </c>
      <c r="C16" s="43">
        <v>9.1115774586163525</v>
      </c>
      <c r="D16" s="43">
        <v>8.179160368020078</v>
      </c>
      <c r="E16" s="43">
        <v>27.567470871561529</v>
      </c>
      <c r="F16" s="44">
        <v>10.635999999999999</v>
      </c>
      <c r="G16" s="43">
        <f>'Regression Output'!D36</f>
        <v>3.9667425435690227</v>
      </c>
    </row>
    <row r="17" spans="2:7" x14ac:dyDescent="0.3">
      <c r="B17" s="45" t="s">
        <v>35</v>
      </c>
      <c r="C17" s="46">
        <v>7.0676260762393923</v>
      </c>
      <c r="D17" s="46">
        <v>9.5972421228844649</v>
      </c>
      <c r="E17" s="46">
        <v>30.157714917183696</v>
      </c>
      <c r="F17" s="47">
        <v>10.227</v>
      </c>
      <c r="G17" s="46">
        <f>'Regression Output'!D37</f>
        <v>0.35668045965770467</v>
      </c>
    </row>
    <row r="18" spans="2:7" x14ac:dyDescent="0.3">
      <c r="B18" s="42" t="s">
        <v>36</v>
      </c>
      <c r="C18" s="43">
        <v>5.1081851390360384</v>
      </c>
      <c r="D18" s="43">
        <v>8.7561809097263232</v>
      </c>
      <c r="E18" s="43">
        <v>29.549341327370737</v>
      </c>
      <c r="F18" s="44">
        <v>10.285</v>
      </c>
      <c r="G18" s="43">
        <f>'Regression Output'!D38</f>
        <v>-1.3093355566187199</v>
      </c>
    </row>
    <row r="19" spans="2:7" x14ac:dyDescent="0.3">
      <c r="B19" s="45" t="s">
        <v>37</v>
      </c>
      <c r="C19" s="46">
        <v>0.9201182213658825</v>
      </c>
      <c r="D19" s="46">
        <v>10.44412837648847</v>
      </c>
      <c r="E19" s="46">
        <v>29.726200747457419</v>
      </c>
      <c r="F19" s="47">
        <v>10.965</v>
      </c>
      <c r="G19" s="46">
        <f>'Regression Output'!D39</f>
        <v>-4.6990065422604239</v>
      </c>
    </row>
    <row r="20" spans="2:7" x14ac:dyDescent="0.3">
      <c r="B20" s="42" t="s">
        <v>38</v>
      </c>
      <c r="C20" s="43">
        <v>-4.8826940170663278</v>
      </c>
      <c r="D20" s="43">
        <v>6.2509766309062647</v>
      </c>
      <c r="E20" s="43">
        <v>23.694875674949468</v>
      </c>
      <c r="F20" s="44">
        <v>14.026</v>
      </c>
      <c r="G20" s="43">
        <f>'Regression Output'!D40</f>
        <v>-4.5015100766063121</v>
      </c>
    </row>
    <row r="21" spans="2:7" x14ac:dyDescent="0.3">
      <c r="B21" s="45" t="s">
        <v>39</v>
      </c>
      <c r="C21" s="46">
        <v>8.5421984846768595</v>
      </c>
      <c r="D21" s="46">
        <v>8.5664442055297592</v>
      </c>
      <c r="E21" s="46">
        <v>28.452077782551743</v>
      </c>
      <c r="F21" s="47">
        <v>11.879</v>
      </c>
      <c r="G21" s="46">
        <f>'Regression Output'!D41</f>
        <v>4.4355323994100289</v>
      </c>
    </row>
    <row r="22" spans="2:7" x14ac:dyDescent="0.3">
      <c r="B22" s="42" t="s">
        <v>40</v>
      </c>
      <c r="C22" s="43">
        <v>10.979962527359845</v>
      </c>
      <c r="D22" s="43">
        <v>6.471879671151</v>
      </c>
      <c r="E22" s="43">
        <v>31.958286232968963</v>
      </c>
      <c r="F22" s="44">
        <v>9.7889999999999997</v>
      </c>
      <c r="G22" s="43">
        <f>'Regression Output'!D42</f>
        <v>2.7544237508438041</v>
      </c>
    </row>
    <row r="23" spans="2:7" x14ac:dyDescent="0.3">
      <c r="B23" s="45" t="s">
        <v>41</v>
      </c>
      <c r="C23" s="46">
        <v>4.8076269663344817</v>
      </c>
      <c r="D23" s="46">
        <v>8.8915699651216258</v>
      </c>
      <c r="E23" s="46">
        <v>29.421538205313023</v>
      </c>
      <c r="F23" s="47">
        <v>9.2100000000000009</v>
      </c>
      <c r="G23" s="46">
        <f>'Regression Output'!D43</f>
        <v>-2.770735272361545</v>
      </c>
    </row>
    <row r="24" spans="2:7" x14ac:dyDescent="0.3">
      <c r="B24" s="42" t="s">
        <v>42</v>
      </c>
      <c r="C24" s="43">
        <v>8.4882568929851061</v>
      </c>
      <c r="D24" s="43">
        <v>7.4930903054769313</v>
      </c>
      <c r="E24" s="43">
        <v>31.36494319908558</v>
      </c>
      <c r="F24" s="44">
        <v>9.7129999999999992</v>
      </c>
      <c r="G24" s="43">
        <f>'Regression Output'!D44</f>
        <v>0.50968600432111622</v>
      </c>
    </row>
    <row r="25" spans="2:7" x14ac:dyDescent="0.3">
      <c r="B25" s="45" t="s">
        <v>43</v>
      </c>
      <c r="C25" s="46">
        <v>4.6007944727055872</v>
      </c>
      <c r="D25" s="46">
        <v>8.8545727136431598</v>
      </c>
      <c r="E25" s="46">
        <v>30.211539066491948</v>
      </c>
      <c r="F25" s="47">
        <v>9.9009999999999998</v>
      </c>
      <c r="G25" s="46">
        <f>'Regression Output'!D45</f>
        <v>-2.5522944922794437</v>
      </c>
    </row>
    <row r="26" spans="2:7" x14ac:dyDescent="0.3">
      <c r="B26" s="42" t="s">
        <v>44</v>
      </c>
      <c r="C26" s="43">
        <v>5.805573866286835</v>
      </c>
      <c r="D26" s="43">
        <v>7.6708536484588477</v>
      </c>
      <c r="E26" s="43">
        <v>30.062899150790955</v>
      </c>
      <c r="F26" s="44">
        <v>10.304</v>
      </c>
      <c r="G26" s="43">
        <f>'Regression Output'!D46</f>
        <v>-0.89139638499531237</v>
      </c>
    </row>
    <row r="27" spans="2:7" x14ac:dyDescent="0.3">
      <c r="B27" s="45" t="s">
        <v>45</v>
      </c>
      <c r="C27" s="46">
        <v>3.3236650820044531</v>
      </c>
      <c r="D27" s="46">
        <v>7.7751341532833012</v>
      </c>
      <c r="E27" s="46">
        <v>29.828830017521625</v>
      </c>
      <c r="F27" s="47">
        <v>10.898999999999999</v>
      </c>
      <c r="G27" s="46">
        <f>'Regression Output'!D47</f>
        <v>-2.5803789829608483</v>
      </c>
    </row>
    <row r="28" spans="2:7" x14ac:dyDescent="0.3">
      <c r="B28" s="42" t="s">
        <v>46</v>
      </c>
      <c r="C28" s="43">
        <v>7.8258573000259446</v>
      </c>
      <c r="D28" s="43">
        <v>11.144311084076421</v>
      </c>
      <c r="E28" s="43">
        <v>32.794692197245077</v>
      </c>
      <c r="F28" s="44">
        <v>10.919</v>
      </c>
      <c r="G28" s="43">
        <f>'Regression Output'!D48</f>
        <v>0.79253955573114609</v>
      </c>
    </row>
    <row r="29" spans="2:7" x14ac:dyDescent="0.3">
      <c r="B29" s="45" t="s">
        <v>47</v>
      </c>
      <c r="C29" s="46">
        <v>3.4681530609221909</v>
      </c>
      <c r="D29" s="46">
        <v>16.33246389889289</v>
      </c>
      <c r="E29" s="46">
        <v>31.340800909141564</v>
      </c>
      <c r="F29" s="47">
        <v>10.956</v>
      </c>
      <c r="G29" s="46">
        <f>'Regression Output'!D49</f>
        <v>-2.5414918404042677</v>
      </c>
    </row>
    <row r="30" spans="2:7" x14ac:dyDescent="0.3">
      <c r="B30" s="42" t="s">
        <v>48</v>
      </c>
      <c r="C30" s="43">
        <v>1.3016236546450273</v>
      </c>
      <c r="D30" s="43">
        <v>15.176821572002231</v>
      </c>
      <c r="E30" s="43">
        <v>27.505830383216306</v>
      </c>
      <c r="F30" s="44">
        <v>13.73</v>
      </c>
      <c r="G30" s="43">
        <f>'Regression Output'!D50</f>
        <v>0.14440685877376325</v>
      </c>
    </row>
    <row r="31" spans="2:7" x14ac:dyDescent="0.3">
      <c r="B31" s="45" t="s">
        <v>49</v>
      </c>
      <c r="C31" s="46">
        <v>1.8030624708725469</v>
      </c>
      <c r="D31" s="46">
        <v>12.27895744625741</v>
      </c>
      <c r="E31" s="46">
        <v>34.154056079947665</v>
      </c>
      <c r="F31" s="47">
        <v>13.148</v>
      </c>
      <c r="G31" s="46">
        <f>'Regression Output'!D51</f>
        <v>-3.2378896699267923</v>
      </c>
    </row>
    <row r="32" spans="2:7" x14ac:dyDescent="0.3">
      <c r="B32" s="42" t="s">
        <v>50</v>
      </c>
      <c r="C32" s="43">
        <v>11.811094450607001</v>
      </c>
      <c r="D32" s="43">
        <v>19.596492691332401</v>
      </c>
      <c r="E32" s="43">
        <v>34.376144470162288</v>
      </c>
      <c r="F32" s="44">
        <v>11.968999999999999</v>
      </c>
      <c r="G32" s="43">
        <f>'Regression Output'!D52</f>
        <v>5.7679123212217114</v>
      </c>
    </row>
    <row r="33" spans="2:7" x14ac:dyDescent="0.3">
      <c r="B33" s="45" t="s">
        <v>51</v>
      </c>
      <c r="C33" s="46">
        <v>5.4412251132240073</v>
      </c>
      <c r="D33" s="46">
        <v>72.308835989120652</v>
      </c>
      <c r="E33" s="46">
        <v>38.602139717568008</v>
      </c>
      <c r="F33" s="47">
        <v>10.465</v>
      </c>
      <c r="G33" s="46">
        <f>'Regression Output'!D53</f>
        <v>-1.0424903512474764</v>
      </c>
    </row>
    <row r="34" spans="2:7" x14ac:dyDescent="0.3">
      <c r="B34" s="42" t="s">
        <v>52</v>
      </c>
      <c r="C34" s="43">
        <v>5.0451236981228931</v>
      </c>
      <c r="D34" s="43">
        <v>53.859408759331508</v>
      </c>
      <c r="E34" s="43">
        <v>34.588276511404331</v>
      </c>
      <c r="F34" s="44">
        <v>9.3879999999999999</v>
      </c>
      <c r="G34" s="43">
        <f>'Regression Output'!D54</f>
        <v>-1.9553358794929405</v>
      </c>
    </row>
    <row r="35" spans="2:7" x14ac:dyDescent="0.3">
      <c r="B35" s="45" t="s">
        <v>53</v>
      </c>
      <c r="C35" s="46">
        <v>3.3276230893798981</v>
      </c>
      <c r="D35" s="46">
        <v>58.506450730034153</v>
      </c>
      <c r="E35" s="46">
        <v>30.731155954920837</v>
      </c>
      <c r="F35" s="47">
        <v>8.8000000000000007</v>
      </c>
      <c r="G35" s="46">
        <f>'Regression Output'!D55</f>
        <v>-2.2959800355641811</v>
      </c>
    </row>
  </sheetData>
  <mergeCells count="2">
    <mergeCell ref="B3:H3"/>
    <mergeCell ref="B2:N2"/>
  </mergeCells>
  <pageMargins left="0.25" right="0.25" top="0.75" bottom="0.75" header="0.3" footer="0.3"/>
  <pageSetup scale="8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4B665-CC52-41A4-93AD-884CE4F02D8C}">
  <sheetPr>
    <tabColor theme="4" tint="0.59999389629810485"/>
    <pageSetUpPr fitToPage="1"/>
  </sheetPr>
  <dimension ref="B1:I16"/>
  <sheetViews>
    <sheetView showGridLines="0" workbookViewId="0"/>
  </sheetViews>
  <sheetFormatPr defaultRowHeight="15" x14ac:dyDescent="0.3"/>
  <cols>
    <col min="1" max="1" width="8.5703125" customWidth="1"/>
    <col min="2" max="2" width="19" customWidth="1"/>
    <col min="3" max="3" width="14.5703125" customWidth="1"/>
    <col min="4" max="4" width="16.42578125" customWidth="1"/>
    <col min="5" max="5" width="14.42578125" customWidth="1"/>
    <col min="6" max="6" width="15.42578125" customWidth="1"/>
  </cols>
  <sheetData>
    <row r="1" spans="2:9" ht="48" customHeight="1" x14ac:dyDescent="0.3">
      <c r="B1" s="5"/>
      <c r="C1" s="35"/>
      <c r="D1" s="35"/>
      <c r="E1" s="36"/>
      <c r="F1" s="38" t="s">
        <v>60</v>
      </c>
      <c r="G1" s="5"/>
      <c r="H1" s="5"/>
      <c r="I1" s="5"/>
    </row>
    <row r="2" spans="2:9" ht="18" x14ac:dyDescent="0.3">
      <c r="B2" s="105" t="s">
        <v>206</v>
      </c>
      <c r="C2" s="105"/>
      <c r="D2" s="105"/>
      <c r="E2" s="105"/>
      <c r="F2" s="105"/>
      <c r="G2" s="105"/>
      <c r="H2" s="105"/>
      <c r="I2" s="105"/>
    </row>
    <row r="4" spans="2:9" x14ac:dyDescent="0.3">
      <c r="B4" s="48" t="s">
        <v>68</v>
      </c>
      <c r="C4" s="40" t="s">
        <v>69</v>
      </c>
      <c r="D4" s="41" t="s">
        <v>64</v>
      </c>
      <c r="E4" s="40" t="s">
        <v>65</v>
      </c>
      <c r="F4" s="40" t="s">
        <v>66</v>
      </c>
    </row>
    <row r="5" spans="2:9" x14ac:dyDescent="0.3">
      <c r="B5" s="91" t="s">
        <v>70</v>
      </c>
      <c r="C5" s="43">
        <f>AVERAGE('Clean Data'!C6:C35)</f>
        <v>4.9610755994842322</v>
      </c>
      <c r="D5" s="43">
        <f>AVERAGE('Clean Data'!D6:D35)</f>
        <v>31.577967226548271</v>
      </c>
      <c r="E5" s="43">
        <f>AVERAGE('Clean Data'!E6:E35)</f>
        <v>28.652873065527082</v>
      </c>
      <c r="F5" s="44">
        <f>AVERAGE('Clean Data'!F6:F35)</f>
        <v>9.9837333333333316</v>
      </c>
    </row>
    <row r="6" spans="2:9" x14ac:dyDescent="0.3">
      <c r="B6" s="92" t="s">
        <v>71</v>
      </c>
      <c r="C6" s="46">
        <f>MEDIAN('Clean Data'!C6:C35)</f>
        <v>5.6201591618046294</v>
      </c>
      <c r="D6" s="46">
        <f>MEDIAN('Clean Data'!D6:D35)</f>
        <v>13.72788950912982</v>
      </c>
      <c r="E6" s="46">
        <f>MEDIAN('Clean Data'!E6:E35)</f>
        <v>29.48543976634188</v>
      </c>
      <c r="F6" s="47">
        <f>MEDIAN('Clean Data'!F6:F35)</f>
        <v>10.294499999999999</v>
      </c>
    </row>
    <row r="7" spans="2:9" x14ac:dyDescent="0.3">
      <c r="B7" s="91" t="s">
        <v>72</v>
      </c>
      <c r="C7" s="43">
        <f>STDEV('Clean Data'!C6:C35)</f>
        <v>4.2198564441919597</v>
      </c>
      <c r="D7" s="43">
        <f>STDEV('Clean Data'!D6:D35)</f>
        <v>29.525780660092924</v>
      </c>
      <c r="E7" s="43">
        <f>STDEV('Clean Data'!E6:E35)</f>
        <v>4.3487720362468911</v>
      </c>
      <c r="F7" s="44">
        <f>STDEV('Clean Data'!F6:F35)</f>
        <v>1.9679222533937488</v>
      </c>
    </row>
    <row r="8" spans="2:9" x14ac:dyDescent="0.3">
      <c r="B8" s="92" t="s">
        <v>73</v>
      </c>
      <c r="C8" s="46">
        <f>MIN('Clean Data'!C6:C35)</f>
        <v>-5.4594083856306241</v>
      </c>
      <c r="D8" s="46">
        <f>MIN('Clean Data'!D6:D35)</f>
        <v>6.2509766309062647</v>
      </c>
      <c r="E8" s="46">
        <f>MIN('Clean Data'!E6:E35)</f>
        <v>19.614362197964791</v>
      </c>
      <c r="F8" s="47">
        <f>MIN('Clean Data'!F6:F35)</f>
        <v>6.4950000000000001</v>
      </c>
    </row>
    <row r="9" spans="2:9" x14ac:dyDescent="0.3">
      <c r="B9" s="91" t="s">
        <v>74</v>
      </c>
      <c r="C9" s="43">
        <f>MAX('Clean Data'!C6:C35)</f>
        <v>11.811094450607001</v>
      </c>
      <c r="D9" s="43">
        <f>MAX('Clean Data'!D6:D35)</f>
        <v>89.113317224849936</v>
      </c>
      <c r="E9" s="43">
        <f>MAX('Clean Data'!E6:E35)</f>
        <v>38.602139717568008</v>
      </c>
      <c r="F9" s="44">
        <f>MAX('Clean Data'!F6:F35)</f>
        <v>14.026</v>
      </c>
    </row>
    <row r="11" spans="2:9" ht="16.5" x14ac:dyDescent="0.3">
      <c r="B11" s="49" t="s">
        <v>75</v>
      </c>
    </row>
    <row r="12" spans="2:9" x14ac:dyDescent="0.3">
      <c r="B12" s="78" t="s">
        <v>115</v>
      </c>
    </row>
    <row r="13" spans="2:9" x14ac:dyDescent="0.3">
      <c r="B13" s="78" t="s">
        <v>116</v>
      </c>
    </row>
    <row r="14" spans="2:9" x14ac:dyDescent="0.3">
      <c r="B14" s="78" t="s">
        <v>117</v>
      </c>
    </row>
    <row r="15" spans="2:9" x14ac:dyDescent="0.3">
      <c r="B15" s="78" t="s">
        <v>118</v>
      </c>
    </row>
    <row r="16" spans="2:9" x14ac:dyDescent="0.3">
      <c r="B16" s="78" t="s">
        <v>207</v>
      </c>
    </row>
  </sheetData>
  <mergeCells count="1">
    <mergeCell ref="B2:I2"/>
  </mergeCells>
  <pageMargins left="0.25" right="0.25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3774-556F-4BA8-A110-283AFFD5534C}">
  <sheetPr>
    <tabColor theme="4" tint="0.59999389629810485"/>
    <pageSetUpPr fitToPage="1"/>
  </sheetPr>
  <dimension ref="B1:I15"/>
  <sheetViews>
    <sheetView showGridLines="0" workbookViewId="0"/>
  </sheetViews>
  <sheetFormatPr defaultRowHeight="15" x14ac:dyDescent="0.3"/>
  <cols>
    <col min="2" max="2" width="16.7109375" customWidth="1"/>
    <col min="3" max="3" width="15.5703125" customWidth="1"/>
    <col min="4" max="4" width="10" customWidth="1"/>
    <col min="5" max="5" width="14.85546875" customWidth="1"/>
    <col min="6" max="6" width="15" customWidth="1"/>
  </cols>
  <sheetData>
    <row r="1" spans="2:9" ht="45.75" customHeight="1" x14ac:dyDescent="0.3">
      <c r="B1" s="5"/>
      <c r="C1" s="35"/>
      <c r="D1" s="35"/>
      <c r="E1" s="36"/>
      <c r="F1" s="37" t="s">
        <v>60</v>
      </c>
      <c r="G1" s="5"/>
      <c r="H1" s="5"/>
      <c r="I1" s="5"/>
    </row>
    <row r="2" spans="2:9" ht="16.5" x14ac:dyDescent="0.3">
      <c r="B2" s="106" t="s">
        <v>76</v>
      </c>
      <c r="C2" s="106"/>
      <c r="D2" s="106"/>
      <c r="E2" s="106"/>
      <c r="F2" s="106"/>
      <c r="G2" s="106"/>
      <c r="H2" s="106"/>
      <c r="I2" s="106"/>
    </row>
    <row r="4" spans="2:9" ht="24" customHeight="1" x14ac:dyDescent="0.3">
      <c r="B4" s="50"/>
      <c r="C4" s="89" t="s">
        <v>69</v>
      </c>
      <c r="D4" s="90" t="s">
        <v>64</v>
      </c>
      <c r="E4" s="89" t="s">
        <v>65</v>
      </c>
      <c r="F4" s="89" t="s">
        <v>66</v>
      </c>
    </row>
    <row r="5" spans="2:9" x14ac:dyDescent="0.3">
      <c r="B5" s="51" t="s">
        <v>69</v>
      </c>
      <c r="C5" s="53">
        <f>CORREL('Clean Data'!$C$6:$C$35,'Clean Data'!C6:C35)</f>
        <v>1.0000000000000002</v>
      </c>
      <c r="D5" s="43">
        <f>CORREL('Clean Data'!$C$6:$C$35,'Clean Data'!D6:D35)</f>
        <v>-0.12088668551887541</v>
      </c>
      <c r="E5" s="43">
        <f>CORREL('Clean Data'!$C$6:$C$35,'Clean Data'!E6:E35)</f>
        <v>0.41227420792017871</v>
      </c>
      <c r="F5" s="43">
        <f>CORREL('Clean Data'!$C$6:$C$35,'Clean Data'!F6:F35)</f>
        <v>-9.4028477202571487E-2</v>
      </c>
    </row>
    <row r="6" spans="2:9" x14ac:dyDescent="0.3">
      <c r="B6" s="52" t="s">
        <v>64</v>
      </c>
      <c r="C6" s="46">
        <f>CORREL('Clean Data'!$D$6:$D$35,'Clean Data'!C6:C35)</f>
        <v>-0.12088668551887541</v>
      </c>
      <c r="D6" s="54">
        <f>CORREL('Clean Data'!$D$6:$D$35,'Clean Data'!D6:D35)</f>
        <v>1</v>
      </c>
      <c r="E6" s="46">
        <f>CORREL('Clean Data'!$D$6:$D$35,'Clean Data'!E6:E35)</f>
        <v>-0.18751541407200864</v>
      </c>
      <c r="F6" s="46">
        <f>CORREL('Clean Data'!$D$6:$D$35,'Clean Data'!F6:F35)</f>
        <v>-0.73941924039621199</v>
      </c>
    </row>
    <row r="7" spans="2:9" x14ac:dyDescent="0.3">
      <c r="B7" s="51" t="s">
        <v>65</v>
      </c>
      <c r="C7" s="43">
        <f>CORREL('Clean Data'!$E$6:$E$35,'Clean Data'!C6:C35)</f>
        <v>0.41227420792017871</v>
      </c>
      <c r="D7" s="43">
        <f>CORREL('Clean Data'!$E$6:$E$35,'Clean Data'!D6:D35)</f>
        <v>-0.18751541407200864</v>
      </c>
      <c r="E7" s="53">
        <f>CORREL('Clean Data'!$E$6:$E$35,'Clean Data'!E6:E35)</f>
        <v>1</v>
      </c>
      <c r="F7" s="43">
        <f>CORREL('Clean Data'!$E$6:$E$35,'Clean Data'!F6:F35)</f>
        <v>0.26155105610666218</v>
      </c>
    </row>
    <row r="8" spans="2:9" x14ac:dyDescent="0.3">
      <c r="B8" s="51" t="s">
        <v>66</v>
      </c>
      <c r="C8" s="46">
        <f>CORREL('Clean Data'!$F$6:$F$35,'Clean Data'!C6:C35)</f>
        <v>-9.4028477202571487E-2</v>
      </c>
      <c r="D8" s="46">
        <f>CORREL('Clean Data'!$F$6:$F$35,'Clean Data'!D6:D35)</f>
        <v>-0.73941924039621199</v>
      </c>
      <c r="E8" s="46">
        <f>CORREL('Clean Data'!$F$6:$F$35,'Clean Data'!E6:E35)</f>
        <v>0.26155105610666218</v>
      </c>
      <c r="F8" s="54">
        <f>CORREL('Clean Data'!$F$6:$F$35,'Clean Data'!F6:F35)</f>
        <v>0.99999999999999989</v>
      </c>
    </row>
    <row r="10" spans="2:9" x14ac:dyDescent="0.3">
      <c r="B10" s="55" t="s">
        <v>75</v>
      </c>
    </row>
    <row r="11" spans="2:9" x14ac:dyDescent="0.3">
      <c r="B11" s="78" t="s">
        <v>110</v>
      </c>
    </row>
    <row r="12" spans="2:9" x14ac:dyDescent="0.3">
      <c r="B12" s="78" t="s">
        <v>111</v>
      </c>
    </row>
    <row r="13" spans="2:9" x14ac:dyDescent="0.3">
      <c r="B13" s="78" t="s">
        <v>112</v>
      </c>
    </row>
    <row r="14" spans="2:9" x14ac:dyDescent="0.3">
      <c r="B14" s="78" t="s">
        <v>113</v>
      </c>
    </row>
    <row r="15" spans="2:9" x14ac:dyDescent="0.3">
      <c r="B15" s="78" t="s">
        <v>114</v>
      </c>
    </row>
  </sheetData>
  <mergeCells count="1">
    <mergeCell ref="B2:I2"/>
  </mergeCells>
  <pageMargins left="0.25" right="0.25" top="0.75" bottom="0.75" header="0.3" footer="0.3"/>
  <pageSetup scale="9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71DD-CE8B-4699-97E7-2572F58D57D5}">
  <sheetPr>
    <tabColor theme="4" tint="-0.249977111117893"/>
    <pageSetUpPr fitToPage="1"/>
  </sheetPr>
  <dimension ref="B1:R55"/>
  <sheetViews>
    <sheetView showGridLines="0" zoomScale="92" workbookViewId="0"/>
  </sheetViews>
  <sheetFormatPr defaultRowHeight="15" x14ac:dyDescent="0.3"/>
  <cols>
    <col min="2" max="2" width="19" customWidth="1"/>
    <col min="3" max="3" width="30" customWidth="1"/>
    <col min="4" max="4" width="14.5703125" customWidth="1"/>
    <col min="5" max="5" width="12.5703125" bestFit="1" customWidth="1"/>
    <col min="6" max="6" width="11.5703125" customWidth="1"/>
    <col min="7" max="7" width="14.85546875" customWidth="1"/>
    <col min="8" max="10" width="12.5703125" bestFit="1" customWidth="1"/>
  </cols>
  <sheetData>
    <row r="1" spans="2:18" ht="47.25" customHeight="1" x14ac:dyDescent="0.3">
      <c r="B1" s="5"/>
      <c r="C1" s="35"/>
      <c r="D1" s="35"/>
      <c r="E1" s="36"/>
      <c r="F1" s="76" t="s">
        <v>60</v>
      </c>
      <c r="G1" s="5"/>
      <c r="H1" s="5"/>
      <c r="I1" s="5"/>
      <c r="J1" s="5"/>
      <c r="K1" s="56"/>
      <c r="L1" s="56"/>
      <c r="M1" s="56"/>
      <c r="N1" s="56"/>
      <c r="O1" s="56"/>
      <c r="P1" s="56"/>
      <c r="Q1" s="56"/>
      <c r="R1" s="56"/>
    </row>
    <row r="2" spans="2:18" ht="16.5" x14ac:dyDescent="0.3">
      <c r="B2" s="106" t="s">
        <v>208</v>
      </c>
      <c r="C2" s="106"/>
      <c r="D2" s="106"/>
      <c r="E2" s="106"/>
      <c r="F2" s="106"/>
      <c r="G2" s="106"/>
      <c r="H2" s="106"/>
      <c r="I2" s="106"/>
      <c r="J2" s="106"/>
      <c r="K2" s="57"/>
      <c r="L2" s="57"/>
      <c r="M2" s="57"/>
      <c r="N2" s="57"/>
      <c r="O2" s="57"/>
      <c r="P2" s="56"/>
    </row>
    <row r="4" spans="2:18" ht="16.5" x14ac:dyDescent="0.3">
      <c r="B4" s="107" t="s">
        <v>77</v>
      </c>
      <c r="C4" s="109"/>
    </row>
    <row r="5" spans="2:18" x14ac:dyDescent="0.3">
      <c r="B5" s="58" t="s">
        <v>78</v>
      </c>
      <c r="C5" s="59">
        <v>0.54409735606991239</v>
      </c>
    </row>
    <row r="6" spans="2:18" x14ac:dyDescent="0.3">
      <c r="B6" s="60" t="s">
        <v>79</v>
      </c>
      <c r="C6" s="61">
        <v>0.29604193288226904</v>
      </c>
      <c r="D6" s="78" t="s">
        <v>133</v>
      </c>
    </row>
    <row r="7" spans="2:18" x14ac:dyDescent="0.3">
      <c r="B7" s="58" t="s">
        <v>80</v>
      </c>
      <c r="C7" s="59">
        <v>0.21481600206099236</v>
      </c>
      <c r="D7" s="78" t="s">
        <v>132</v>
      </c>
    </row>
    <row r="8" spans="2:18" x14ac:dyDescent="0.3">
      <c r="B8" s="62" t="s">
        <v>81</v>
      </c>
      <c r="C8" s="63">
        <v>3.7392404827041785</v>
      </c>
    </row>
    <row r="9" spans="2:18" x14ac:dyDescent="0.3">
      <c r="B9" s="58" t="s">
        <v>82</v>
      </c>
      <c r="C9" s="58">
        <v>30</v>
      </c>
    </row>
    <row r="11" spans="2:18" ht="16.5" x14ac:dyDescent="0.3">
      <c r="B11" s="107" t="s">
        <v>83</v>
      </c>
      <c r="C11" s="108"/>
      <c r="D11" s="108"/>
      <c r="E11" s="108"/>
      <c r="F11" s="108"/>
      <c r="G11" s="109"/>
    </row>
    <row r="12" spans="2:18" x14ac:dyDescent="0.3">
      <c r="B12" s="67" t="s">
        <v>105</v>
      </c>
      <c r="C12" s="68" t="s">
        <v>88</v>
      </c>
      <c r="D12" s="67" t="s">
        <v>89</v>
      </c>
      <c r="E12" s="68" t="s">
        <v>90</v>
      </c>
      <c r="F12" s="67" t="s">
        <v>91</v>
      </c>
      <c r="G12" s="68" t="s">
        <v>92</v>
      </c>
    </row>
    <row r="13" spans="2:18" x14ac:dyDescent="0.3">
      <c r="B13" s="60" t="s">
        <v>84</v>
      </c>
      <c r="C13" s="64">
        <v>3</v>
      </c>
      <c r="D13" s="61">
        <v>152.87855980322536</v>
      </c>
      <c r="E13" s="61">
        <v>50.959519934408455</v>
      </c>
      <c r="F13" s="61">
        <v>3.6446727035194857</v>
      </c>
      <c r="G13" s="79">
        <v>2.562008300529079E-2</v>
      </c>
      <c r="H13" s="78" t="s">
        <v>119</v>
      </c>
    </row>
    <row r="14" spans="2:18" x14ac:dyDescent="0.3">
      <c r="B14" s="58" t="s">
        <v>85</v>
      </c>
      <c r="C14" s="65">
        <v>26</v>
      </c>
      <c r="D14" s="59">
        <v>363.52990407483821</v>
      </c>
      <c r="E14" s="59">
        <v>13.981919387493777</v>
      </c>
      <c r="F14" s="59"/>
      <c r="G14" s="59"/>
      <c r="H14" s="78" t="s">
        <v>121</v>
      </c>
    </row>
    <row r="15" spans="2:18" x14ac:dyDescent="0.3">
      <c r="B15" s="62" t="s">
        <v>86</v>
      </c>
      <c r="C15" s="66">
        <v>29</v>
      </c>
      <c r="D15" s="63">
        <v>516.40846387806357</v>
      </c>
      <c r="E15" s="63"/>
      <c r="F15" s="63"/>
      <c r="G15" s="63"/>
      <c r="H15" s="78" t="s">
        <v>120</v>
      </c>
    </row>
    <row r="17" spans="2:10" ht="16.5" x14ac:dyDescent="0.3">
      <c r="B17" s="107" t="s">
        <v>104</v>
      </c>
      <c r="C17" s="108"/>
      <c r="D17" s="108"/>
      <c r="E17" s="108"/>
      <c r="F17" s="108"/>
      <c r="G17" s="108"/>
      <c r="H17" s="108"/>
      <c r="I17" s="108"/>
      <c r="J17" s="108"/>
    </row>
    <row r="18" spans="2:10" x14ac:dyDescent="0.3">
      <c r="B18" s="67" t="s">
        <v>106</v>
      </c>
      <c r="C18" s="68" t="s">
        <v>93</v>
      </c>
      <c r="D18" s="67" t="s">
        <v>81</v>
      </c>
      <c r="E18" s="68" t="s">
        <v>94</v>
      </c>
      <c r="F18" s="67" t="s">
        <v>95</v>
      </c>
      <c r="G18" s="68" t="s">
        <v>96</v>
      </c>
      <c r="H18" s="67" t="s">
        <v>97</v>
      </c>
      <c r="I18" s="68" t="s">
        <v>98</v>
      </c>
      <c r="J18" s="67" t="s">
        <v>99</v>
      </c>
    </row>
    <row r="19" spans="2:10" x14ac:dyDescent="0.3">
      <c r="B19" s="60" t="s">
        <v>87</v>
      </c>
      <c r="C19" s="69">
        <v>5.1722388160477815</v>
      </c>
      <c r="D19" s="69">
        <v>7.1823970016566916</v>
      </c>
      <c r="E19" s="69">
        <v>0.72012711283639053</v>
      </c>
      <c r="F19" s="69">
        <v>0.47787123125917252</v>
      </c>
      <c r="G19" s="69">
        <v>-9.5913896608778515</v>
      </c>
      <c r="H19" s="69">
        <v>19.935867292973416</v>
      </c>
      <c r="I19" s="69">
        <v>-9.5913896608778515</v>
      </c>
      <c r="J19" s="69">
        <v>19.935867292973416</v>
      </c>
    </row>
    <row r="20" spans="2:10" x14ac:dyDescent="0.3">
      <c r="B20" s="58" t="s">
        <v>107</v>
      </c>
      <c r="C20" s="70">
        <v>-6.0915341070490236E-2</v>
      </c>
      <c r="D20" s="70">
        <v>3.4932324425776401E-2</v>
      </c>
      <c r="E20" s="70">
        <v>-1.7438101263465047</v>
      </c>
      <c r="F20" s="77">
        <v>9.3006647642829912E-2</v>
      </c>
      <c r="G20" s="70">
        <v>-0.13271976228789711</v>
      </c>
      <c r="H20" s="70">
        <v>1.0889080146916655E-2</v>
      </c>
      <c r="I20" s="70">
        <v>-0.13271976228789711</v>
      </c>
      <c r="J20" s="70">
        <v>1.0889080146916655E-2</v>
      </c>
    </row>
    <row r="21" spans="2:10" x14ac:dyDescent="0.3">
      <c r="B21" s="62" t="s">
        <v>108</v>
      </c>
      <c r="C21" s="71">
        <v>0.45765677360711587</v>
      </c>
      <c r="D21" s="71">
        <v>0.16543328238753793</v>
      </c>
      <c r="E21" s="71">
        <v>2.7664129430438664</v>
      </c>
      <c r="F21" s="80">
        <v>1.0294522401640407E-2</v>
      </c>
      <c r="G21" s="71">
        <v>0.1176037915282121</v>
      </c>
      <c r="H21" s="71">
        <v>0.79770975568601965</v>
      </c>
      <c r="I21" s="71">
        <v>0.1176037915282121</v>
      </c>
      <c r="J21" s="71">
        <v>0.79770975568601965</v>
      </c>
    </row>
    <row r="22" spans="2:10" x14ac:dyDescent="0.3">
      <c r="B22" s="42" t="s">
        <v>109</v>
      </c>
      <c r="C22" s="72">
        <v>-1.1419337470006834</v>
      </c>
      <c r="D22" s="72">
        <v>0.5333784656137438</v>
      </c>
      <c r="E22" s="72">
        <v>-2.1409446024160199</v>
      </c>
      <c r="F22" s="81">
        <v>4.182437863912148E-2</v>
      </c>
      <c r="G22" s="72">
        <v>-2.2383088850078989</v>
      </c>
      <c r="H22" s="72">
        <v>-4.5558608993467642E-2</v>
      </c>
      <c r="I22" s="72">
        <v>-2.2383088850078989</v>
      </c>
      <c r="J22" s="72">
        <v>-4.5558608993467642E-2</v>
      </c>
    </row>
    <row r="24" spans="2:10" ht="16.5" x14ac:dyDescent="0.3">
      <c r="B24" s="107" t="s">
        <v>100</v>
      </c>
      <c r="C24" s="108"/>
      <c r="D24" s="108"/>
      <c r="F24" s="78" t="s">
        <v>123</v>
      </c>
    </row>
    <row r="25" spans="2:10" x14ac:dyDescent="0.3">
      <c r="B25" s="74" t="s">
        <v>101</v>
      </c>
      <c r="C25" s="74" t="s">
        <v>102</v>
      </c>
      <c r="D25" s="74" t="s">
        <v>103</v>
      </c>
      <c r="F25" s="78" t="s">
        <v>122</v>
      </c>
    </row>
    <row r="26" spans="2:10" x14ac:dyDescent="0.3">
      <c r="B26" s="73">
        <v>1</v>
      </c>
      <c r="C26" s="75">
        <v>3.5557889132595903</v>
      </c>
      <c r="D26" s="75">
        <v>4.3224779629303214</v>
      </c>
      <c r="F26" s="78" t="s">
        <v>124</v>
      </c>
    </row>
    <row r="27" spans="2:10" x14ac:dyDescent="0.3">
      <c r="B27" s="42">
        <v>2</v>
      </c>
      <c r="C27" s="44">
        <v>6.0154843554108082</v>
      </c>
      <c r="D27" s="44">
        <v>1.14231412389766</v>
      </c>
      <c r="F27" t="s">
        <v>220</v>
      </c>
    </row>
    <row r="28" spans="2:10" x14ac:dyDescent="0.3">
      <c r="B28" s="73">
        <v>3</v>
      </c>
      <c r="C28" s="75">
        <v>4.5112325958950432</v>
      </c>
      <c r="D28" s="75">
        <v>2.8466297788897581</v>
      </c>
      <c r="F28" t="s">
        <v>125</v>
      </c>
    </row>
    <row r="29" spans="2:10" x14ac:dyDescent="0.3">
      <c r="B29" s="42">
        <v>4</v>
      </c>
      <c r="C29" s="44">
        <v>3.7292508322326743</v>
      </c>
      <c r="D29" s="44">
        <v>-1.8206801887811626</v>
      </c>
      <c r="F29" t="s">
        <v>209</v>
      </c>
    </row>
    <row r="30" spans="2:10" x14ac:dyDescent="0.3">
      <c r="B30" s="73">
        <v>5</v>
      </c>
      <c r="C30" s="75">
        <v>2.2846613111900194</v>
      </c>
      <c r="D30" s="75">
        <v>-5.3374318687843623</v>
      </c>
    </row>
    <row r="31" spans="2:10" x14ac:dyDescent="0.3">
      <c r="B31" s="42">
        <v>6</v>
      </c>
      <c r="C31" s="44">
        <v>5.3991330366896859</v>
      </c>
      <c r="D31" s="44">
        <v>1.5861539414809345</v>
      </c>
      <c r="F31" s="78" t="s">
        <v>128</v>
      </c>
    </row>
    <row r="32" spans="2:10" x14ac:dyDescent="0.3">
      <c r="B32" s="73">
        <v>7</v>
      </c>
      <c r="C32" s="75">
        <v>1.2645317495863555</v>
      </c>
      <c r="D32" s="75">
        <v>-6.7239401352169796</v>
      </c>
      <c r="F32" s="78" t="s">
        <v>126</v>
      </c>
    </row>
    <row r="33" spans="2:6" x14ac:dyDescent="0.3">
      <c r="B33" s="42">
        <v>8</v>
      </c>
      <c r="C33" s="44">
        <v>0.4565991386795325</v>
      </c>
      <c r="D33" s="44">
        <v>5.9789096992516058</v>
      </c>
      <c r="F33" s="78" t="s">
        <v>127</v>
      </c>
    </row>
    <row r="34" spans="2:6" x14ac:dyDescent="0.3">
      <c r="B34" s="73">
        <v>9</v>
      </c>
      <c r="C34" s="75">
        <v>2.2786140540955806</v>
      </c>
      <c r="D34" s="75">
        <v>3.5204791562896709</v>
      </c>
      <c r="F34" s="78" t="s">
        <v>129</v>
      </c>
    </row>
    <row r="35" spans="2:6" x14ac:dyDescent="0.3">
      <c r="B35" s="42">
        <v>10</v>
      </c>
      <c r="C35" s="44">
        <v>3.7903967979537345</v>
      </c>
      <c r="D35" s="44">
        <v>6.1350087212325075</v>
      </c>
      <c r="F35" s="78" t="s">
        <v>130</v>
      </c>
    </row>
    <row r="36" spans="2:6" x14ac:dyDescent="0.3">
      <c r="B36" s="73">
        <v>11</v>
      </c>
      <c r="C36" s="75">
        <v>5.1448349150473298</v>
      </c>
      <c r="D36" s="75">
        <v>3.9667425435690227</v>
      </c>
      <c r="F36" s="78" t="s">
        <v>219</v>
      </c>
    </row>
    <row r="37" spans="2:6" x14ac:dyDescent="0.3">
      <c r="B37" s="42">
        <v>12</v>
      </c>
      <c r="C37" s="44">
        <v>6.7109456165816876</v>
      </c>
      <c r="D37" s="44">
        <v>0.35668045965770467</v>
      </c>
      <c r="F37" s="78" t="s">
        <v>131</v>
      </c>
    </row>
    <row r="38" spans="2:6" x14ac:dyDescent="0.3">
      <c r="B38" s="73">
        <v>13</v>
      </c>
      <c r="C38" s="75">
        <v>6.4175206956547584</v>
      </c>
      <c r="D38" s="75">
        <v>-1.3093355566187199</v>
      </c>
    </row>
    <row r="39" spans="2:6" x14ac:dyDescent="0.3">
      <c r="B39" s="42">
        <v>14</v>
      </c>
      <c r="C39" s="44">
        <v>5.6191247636263064</v>
      </c>
      <c r="D39" s="44">
        <v>-4.6990065422604239</v>
      </c>
      <c r="F39" s="78" t="s">
        <v>135</v>
      </c>
    </row>
    <row r="40" spans="2:6" x14ac:dyDescent="0.3">
      <c r="B40" s="73">
        <v>15</v>
      </c>
      <c r="C40" s="75">
        <v>-0.38118394046001569</v>
      </c>
      <c r="D40" s="75">
        <v>-4.5015100766063121</v>
      </c>
      <c r="F40" t="s">
        <v>134</v>
      </c>
    </row>
    <row r="41" spans="2:6" x14ac:dyDescent="0.3">
      <c r="B41" s="42">
        <v>16</v>
      </c>
      <c r="C41" s="44">
        <v>4.1066660852668306</v>
      </c>
      <c r="D41" s="44">
        <v>4.4355323994100289</v>
      </c>
    </row>
    <row r="42" spans="2:6" x14ac:dyDescent="0.3">
      <c r="B42" s="73">
        <v>17</v>
      </c>
      <c r="C42" s="75">
        <v>8.225538776516041</v>
      </c>
      <c r="D42" s="75">
        <v>2.7544237508438041</v>
      </c>
      <c r="F42" t="s">
        <v>188</v>
      </c>
    </row>
    <row r="43" spans="2:6" x14ac:dyDescent="0.3">
      <c r="B43" s="42">
        <v>18</v>
      </c>
      <c r="C43" s="44">
        <v>7.5783622386960268</v>
      </c>
      <c r="D43" s="44">
        <v>-2.770735272361545</v>
      </c>
      <c r="F43" t="s">
        <v>191</v>
      </c>
    </row>
    <row r="44" spans="2:6" x14ac:dyDescent="0.3">
      <c r="B44" s="73">
        <v>19</v>
      </c>
      <c r="C44" s="75">
        <v>7.9785708886639899</v>
      </c>
      <c r="D44" s="75">
        <v>0.50968600432111622</v>
      </c>
      <c r="F44" t="s">
        <v>190</v>
      </c>
    </row>
    <row r="45" spans="2:6" x14ac:dyDescent="0.3">
      <c r="B45" s="42">
        <v>20</v>
      </c>
      <c r="C45" s="44">
        <v>7.1530889649850309</v>
      </c>
      <c r="D45" s="44">
        <v>-2.5522944922794437</v>
      </c>
      <c r="F45" t="s">
        <v>189</v>
      </c>
    </row>
    <row r="46" spans="2:6" x14ac:dyDescent="0.3">
      <c r="B46" s="73">
        <v>21</v>
      </c>
      <c r="C46" s="75">
        <v>6.6969702512821474</v>
      </c>
      <c r="D46" s="75">
        <v>-0.89139638499531237</v>
      </c>
    </row>
    <row r="47" spans="2:6" x14ac:dyDescent="0.3">
      <c r="B47" s="42">
        <v>22</v>
      </c>
      <c r="C47" s="44">
        <v>5.9040440649653014</v>
      </c>
      <c r="D47" s="44">
        <v>-2.5803789829608483</v>
      </c>
      <c r="F47" t="s">
        <v>192</v>
      </c>
    </row>
    <row r="48" spans="2:6" x14ac:dyDescent="0.3">
      <c r="B48" s="73">
        <v>23</v>
      </c>
      <c r="C48" s="75">
        <v>7.0333177442947985</v>
      </c>
      <c r="D48" s="75">
        <v>0.79253955573114609</v>
      </c>
      <c r="F48" t="s">
        <v>194</v>
      </c>
    </row>
    <row r="49" spans="2:6" x14ac:dyDescent="0.3">
      <c r="B49" s="42">
        <v>24</v>
      </c>
      <c r="C49" s="44">
        <v>6.0096449013264586</v>
      </c>
      <c r="D49" s="44">
        <v>-2.5414918404042677</v>
      </c>
      <c r="F49" t="s">
        <v>193</v>
      </c>
    </row>
    <row r="50" spans="2:6" x14ac:dyDescent="0.3">
      <c r="B50" s="73">
        <v>25</v>
      </c>
      <c r="C50" s="75">
        <v>1.157216795871264</v>
      </c>
      <c r="D50" s="75">
        <v>0.14440685877376325</v>
      </c>
      <c r="F50" t="s">
        <v>195</v>
      </c>
    </row>
    <row r="51" spans="2:6" x14ac:dyDescent="0.3">
      <c r="B51" s="42">
        <v>26</v>
      </c>
      <c r="C51" s="44">
        <v>5.0409521407993392</v>
      </c>
      <c r="D51" s="44">
        <v>-3.2378896699267923</v>
      </c>
    </row>
    <row r="52" spans="2:6" x14ac:dyDescent="0.3">
      <c r="B52" s="73">
        <v>27</v>
      </c>
      <c r="C52" s="75">
        <v>6.0431821293852899</v>
      </c>
      <c r="D52" s="75">
        <v>5.7679123212217114</v>
      </c>
    </row>
    <row r="53" spans="2:6" x14ac:dyDescent="0.3">
      <c r="B53" s="42">
        <v>28</v>
      </c>
      <c r="C53" s="44">
        <v>6.4837154644714836</v>
      </c>
      <c r="D53" s="44">
        <v>-1.0424903512474764</v>
      </c>
    </row>
    <row r="54" spans="2:6" x14ac:dyDescent="0.3">
      <c r="B54" s="73">
        <v>29</v>
      </c>
      <c r="C54" s="75">
        <v>7.0004595776158336</v>
      </c>
      <c r="D54" s="75">
        <v>-1.9553358794929405</v>
      </c>
    </row>
    <row r="55" spans="2:6" x14ac:dyDescent="0.3">
      <c r="B55" s="42">
        <v>30</v>
      </c>
      <c r="C55" s="44">
        <v>5.6236031249440792</v>
      </c>
      <c r="D55" s="44">
        <v>-2.2959800355641811</v>
      </c>
    </row>
  </sheetData>
  <mergeCells count="5">
    <mergeCell ref="B24:D24"/>
    <mergeCell ref="B11:G11"/>
    <mergeCell ref="B17:J17"/>
    <mergeCell ref="B2:J2"/>
    <mergeCell ref="B4:C4"/>
  </mergeCells>
  <pageMargins left="0.25" right="0.25" top="0.75" bottom="0.75" header="0.3" footer="0.3"/>
  <pageSetup scale="5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1517-C0C8-4BB1-A5B2-D38A1F6CBC57}">
  <sheetPr>
    <tabColor theme="4" tint="-0.249977111117893"/>
    <pageSetUpPr fitToPage="1"/>
  </sheetPr>
  <dimension ref="B1:M48"/>
  <sheetViews>
    <sheetView showGridLines="0" workbookViewId="0"/>
  </sheetViews>
  <sheetFormatPr defaultRowHeight="15" x14ac:dyDescent="0.3"/>
  <cols>
    <col min="2" max="2" width="17.85546875" bestFit="1" customWidth="1"/>
    <col min="3" max="3" width="15.7109375" customWidth="1"/>
    <col min="4" max="4" width="14.5703125" customWidth="1"/>
    <col min="5" max="5" width="23" customWidth="1"/>
    <col min="8" max="8" width="11" customWidth="1"/>
  </cols>
  <sheetData>
    <row r="1" spans="2:13" ht="53.25" customHeight="1" x14ac:dyDescent="0.3">
      <c r="B1" s="110" t="s">
        <v>140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</row>
    <row r="2" spans="2:13" ht="16.5" x14ac:dyDescent="0.3">
      <c r="B2" s="106" t="s">
        <v>137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2:13" x14ac:dyDescent="0.3">
      <c r="B3" s="112" t="s">
        <v>138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</row>
    <row r="4" spans="2:13" x14ac:dyDescent="0.3">
      <c r="B4" s="113" t="s">
        <v>139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</row>
    <row r="5" spans="2:13" x14ac:dyDescent="0.3">
      <c r="B5" s="89" t="s">
        <v>62</v>
      </c>
      <c r="C5" s="90" t="s">
        <v>141</v>
      </c>
      <c r="D5" s="89" t="s">
        <v>151</v>
      </c>
      <c r="E5" s="89" t="s">
        <v>142</v>
      </c>
      <c r="F5" s="89" t="s">
        <v>143</v>
      </c>
      <c r="G5" s="90" t="s">
        <v>144</v>
      </c>
      <c r="H5" s="89" t="s">
        <v>145</v>
      </c>
      <c r="I5" s="89" t="s">
        <v>146</v>
      </c>
      <c r="J5" s="89" t="s">
        <v>147</v>
      </c>
      <c r="K5" s="90" t="s">
        <v>148</v>
      </c>
      <c r="L5" s="89" t="s">
        <v>149</v>
      </c>
      <c r="M5" s="89" t="s">
        <v>150</v>
      </c>
    </row>
    <row r="6" spans="2:13" x14ac:dyDescent="0.3">
      <c r="B6" s="42" t="str">
        <f>'Clean Data'!B6</f>
        <v>1995</v>
      </c>
      <c r="C6" s="43">
        <f>'Clean Data'!G6</f>
        <v>4.3224779629303214</v>
      </c>
      <c r="D6" s="43">
        <f>C6^2</f>
        <v>18.683815740018261</v>
      </c>
      <c r="E6" s="43">
        <f>'Clean Data'!D6</f>
        <v>89.113317224849936</v>
      </c>
      <c r="F6" s="44">
        <f>'Clean Data'!E6</f>
        <v>27.402325269035561</v>
      </c>
      <c r="G6" s="43">
        <f>'Clean Data'!F6</f>
        <v>7.6440000000000001</v>
      </c>
      <c r="H6" s="43">
        <f>E6^2</f>
        <v>7941.1833068167361</v>
      </c>
      <c r="I6" s="43">
        <f t="shared" ref="I6:J6" si="0">F6^2</f>
        <v>750.8874301500249</v>
      </c>
      <c r="J6" s="43">
        <f t="shared" si="0"/>
        <v>58.430736000000003</v>
      </c>
      <c r="K6" s="43">
        <f>E6*F6</f>
        <v>2441.9121043980872</v>
      </c>
      <c r="L6" s="44">
        <f>E6*G6</f>
        <v>681.18219686675297</v>
      </c>
      <c r="M6" s="43">
        <f>F6*G6</f>
        <v>209.46337435650784</v>
      </c>
    </row>
    <row r="7" spans="2:13" x14ac:dyDescent="0.3">
      <c r="B7" s="45" t="str">
        <f>'Clean Data'!B7</f>
        <v>1996</v>
      </c>
      <c r="C7" s="46">
        <f>'Clean Data'!G7</f>
        <v>1.14231412389766</v>
      </c>
      <c r="D7" s="46">
        <f t="shared" ref="D7:D35" si="1">C7^2</f>
        <v>1.3048815576560784</v>
      </c>
      <c r="E7" s="46">
        <f>'Clean Data'!D7</f>
        <v>80.412151138804248</v>
      </c>
      <c r="F7" s="47">
        <f>'Clean Data'!E7</f>
        <v>29.086115903290665</v>
      </c>
      <c r="G7" s="46">
        <f>'Clean Data'!F7</f>
        <v>6.6289999999999996</v>
      </c>
      <c r="H7" s="46">
        <f t="shared" ref="H7:H35" si="2">E7^2</f>
        <v>6466.1140507698974</v>
      </c>
      <c r="I7" s="46">
        <f t="shared" ref="I7:I35" si="3">F7^2</f>
        <v>846.00213833965813</v>
      </c>
      <c r="J7" s="46">
        <f t="shared" ref="J7:J35" si="4">G7^2</f>
        <v>43.943640999999992</v>
      </c>
      <c r="K7" s="46">
        <f t="shared" ref="K7:K35" si="5">E7*F7</f>
        <v>2338.8771480561868</v>
      </c>
      <c r="L7" s="47">
        <f t="shared" ref="L7:L35" si="6">E7*G7</f>
        <v>533.05214989913327</v>
      </c>
      <c r="M7" s="46">
        <f t="shared" ref="M7:M35" si="7">F7*G7</f>
        <v>192.81186232291381</v>
      </c>
    </row>
    <row r="8" spans="2:13" x14ac:dyDescent="0.3">
      <c r="B8" s="42" t="str">
        <f>'Clean Data'!B8</f>
        <v>1997</v>
      </c>
      <c r="C8" s="43">
        <f>'Clean Data'!G8</f>
        <v>2.8466297788897581</v>
      </c>
      <c r="D8" s="43">
        <f t="shared" si="1"/>
        <v>8.1033010980619533</v>
      </c>
      <c r="E8" s="43">
        <f>'Clean Data'!D8</f>
        <v>85.669361649977944</v>
      </c>
      <c r="F8" s="44">
        <f>'Clean Data'!E8</f>
        <v>27.027986125465688</v>
      </c>
      <c r="G8" s="43">
        <f>'Clean Data'!F8</f>
        <v>6.8410000000000002</v>
      </c>
      <c r="H8" s="43">
        <f t="shared" si="2"/>
        <v>7339.2395255147112</v>
      </c>
      <c r="I8" s="43">
        <f t="shared" si="3"/>
        <v>730.51203399836572</v>
      </c>
      <c r="J8" s="43">
        <f t="shared" si="4"/>
        <v>46.799281000000001</v>
      </c>
      <c r="K8" s="43">
        <f t="shared" si="5"/>
        <v>2315.470318053106</v>
      </c>
      <c r="L8" s="44">
        <f t="shared" si="6"/>
        <v>586.06410304749909</v>
      </c>
      <c r="M8" s="43">
        <f t="shared" si="7"/>
        <v>184.89845308431077</v>
      </c>
    </row>
    <row r="9" spans="2:13" x14ac:dyDescent="0.3">
      <c r="B9" s="45" t="str">
        <f>'Clean Data'!B9</f>
        <v>1998</v>
      </c>
      <c r="C9" s="46">
        <f>'Clean Data'!G9</f>
        <v>-1.8206801887811626</v>
      </c>
      <c r="D9" s="46">
        <f t="shared" si="1"/>
        <v>3.3148763498202096</v>
      </c>
      <c r="E9" s="46">
        <f>'Clean Data'!D9</f>
        <v>84.641343484631406</v>
      </c>
      <c r="F9" s="47">
        <f>'Clean Data'!E9</f>
        <v>25.299763141922408</v>
      </c>
      <c r="G9" s="46">
        <f>'Clean Data'!F9</f>
        <v>6.8879999999999999</v>
      </c>
      <c r="H9" s="46">
        <f t="shared" si="2"/>
        <v>7164.1570268833557</v>
      </c>
      <c r="I9" s="46">
        <f t="shared" si="3"/>
        <v>640.07801503737562</v>
      </c>
      <c r="J9" s="46">
        <f t="shared" si="4"/>
        <v>47.444544</v>
      </c>
      <c r="K9" s="46">
        <f t="shared" si="5"/>
        <v>2141.4059421752722</v>
      </c>
      <c r="L9" s="47">
        <f t="shared" si="6"/>
        <v>583.00957392214116</v>
      </c>
      <c r="M9" s="46">
        <f t="shared" si="7"/>
        <v>174.26476852156154</v>
      </c>
    </row>
    <row r="10" spans="2:13" x14ac:dyDescent="0.3">
      <c r="B10" s="42" t="str">
        <f>'Clean Data'!B10</f>
        <v>1999</v>
      </c>
      <c r="C10" s="43">
        <f>'Clean Data'!G10</f>
        <v>-5.3374318687843623</v>
      </c>
      <c r="D10" s="43">
        <f t="shared" si="1"/>
        <v>28.488178953914929</v>
      </c>
      <c r="E10" s="43">
        <f>'Clean Data'!D10</f>
        <v>64.867487635075733</v>
      </c>
      <c r="F10" s="44">
        <f>'Clean Data'!E10</f>
        <v>21.504963784195834</v>
      </c>
      <c r="G10" s="43">
        <f>'Clean Data'!F10</f>
        <v>7.6870000000000003</v>
      </c>
      <c r="H10" s="43">
        <f t="shared" si="2"/>
        <v>4207.7909520867033</v>
      </c>
      <c r="I10" s="43">
        <f t="shared" si="3"/>
        <v>462.46346735957439</v>
      </c>
      <c r="J10" s="43">
        <f t="shared" si="4"/>
        <v>59.089969000000004</v>
      </c>
      <c r="K10" s="43">
        <f t="shared" si="5"/>
        <v>1394.9729723640746</v>
      </c>
      <c r="L10" s="44">
        <f t="shared" si="6"/>
        <v>498.63637745082718</v>
      </c>
      <c r="M10" s="43">
        <f t="shared" si="7"/>
        <v>165.30865660911337</v>
      </c>
    </row>
    <row r="11" spans="2:13" x14ac:dyDescent="0.3">
      <c r="B11" s="45" t="str">
        <f>'Clean Data'!B11</f>
        <v>2000</v>
      </c>
      <c r="C11" s="46">
        <f>'Clean Data'!G11</f>
        <v>1.5861539414809345</v>
      </c>
      <c r="D11" s="46">
        <f t="shared" si="1"/>
        <v>2.5158843260755037</v>
      </c>
      <c r="E11" s="46">
        <f>'Clean Data'!D11</f>
        <v>54.915370581268348</v>
      </c>
      <c r="F11" s="47">
        <f>'Clean Data'!E11</f>
        <v>24.011318241331956</v>
      </c>
      <c r="G11" s="46">
        <f>'Clean Data'!F11</f>
        <v>6.4950000000000001</v>
      </c>
      <c r="H11" s="46">
        <f t="shared" si="2"/>
        <v>3015.6979260780331</v>
      </c>
      <c r="I11" s="46">
        <f t="shared" si="3"/>
        <v>576.54340368652072</v>
      </c>
      <c r="J11" s="46">
        <f t="shared" si="4"/>
        <v>42.185025000000003</v>
      </c>
      <c r="K11" s="46">
        <f t="shared" si="5"/>
        <v>1318.590439367513</v>
      </c>
      <c r="L11" s="47">
        <f t="shared" si="6"/>
        <v>356.6753319253379</v>
      </c>
      <c r="M11" s="46">
        <f t="shared" si="7"/>
        <v>155.95351197745106</v>
      </c>
    </row>
    <row r="12" spans="2:13" x14ac:dyDescent="0.3">
      <c r="B12" s="42" t="str">
        <f>'Clean Data'!B12</f>
        <v>2001</v>
      </c>
      <c r="C12" s="43">
        <f>'Clean Data'!G12</f>
        <v>-6.7239401352169796</v>
      </c>
      <c r="D12" s="43">
        <f t="shared" si="1"/>
        <v>45.211370941981734</v>
      </c>
      <c r="E12" s="43">
        <f>'Clean Data'!D12</f>
        <v>54.40018876190743</v>
      </c>
      <c r="F12" s="44">
        <f>'Clean Data'!E12</f>
        <v>19.614362197964791</v>
      </c>
      <c r="G12" s="43">
        <f>'Clean Data'!F12</f>
        <v>8.3810000000000002</v>
      </c>
      <c r="H12" s="43">
        <f t="shared" si="2"/>
        <v>2959.3805373311593</v>
      </c>
      <c r="I12" s="43">
        <f t="shared" si="3"/>
        <v>384.72320443295018</v>
      </c>
      <c r="J12" s="43">
        <f t="shared" si="4"/>
        <v>70.241161000000005</v>
      </c>
      <c r="K12" s="43">
        <f t="shared" si="5"/>
        <v>1067.0250060137062</v>
      </c>
      <c r="L12" s="44">
        <f t="shared" si="6"/>
        <v>455.92798201354617</v>
      </c>
      <c r="M12" s="43">
        <f t="shared" si="7"/>
        <v>164.38796958114293</v>
      </c>
    </row>
    <row r="13" spans="2:13" x14ac:dyDescent="0.3">
      <c r="B13" s="45" t="str">
        <f>'Clean Data'!B13</f>
        <v>2002</v>
      </c>
      <c r="C13" s="46">
        <f>'Clean Data'!G13</f>
        <v>5.9789096992516058</v>
      </c>
      <c r="D13" s="46">
        <f t="shared" si="1"/>
        <v>35.747361191804927</v>
      </c>
      <c r="E13" s="46">
        <f>'Clean Data'!D13</f>
        <v>44.964120947984981</v>
      </c>
      <c r="F13" s="47">
        <f>'Clean Data'!E13</f>
        <v>21.525989356389008</v>
      </c>
      <c r="G13" s="46">
        <f>'Clean Data'!F13</f>
        <v>10.358000000000001</v>
      </c>
      <c r="H13" s="46">
        <f t="shared" si="2"/>
        <v>2021.7721726250218</v>
      </c>
      <c r="I13" s="46">
        <f t="shared" si="3"/>
        <v>463.36821777137288</v>
      </c>
      <c r="J13" s="46">
        <f t="shared" si="4"/>
        <v>107.28816400000001</v>
      </c>
      <c r="K13" s="46">
        <f t="shared" si="5"/>
        <v>967.89718894571274</v>
      </c>
      <c r="L13" s="47">
        <f t="shared" si="6"/>
        <v>465.73836477922845</v>
      </c>
      <c r="M13" s="46">
        <f t="shared" si="7"/>
        <v>222.96619775347736</v>
      </c>
    </row>
    <row r="14" spans="2:13" x14ac:dyDescent="0.3">
      <c r="B14" s="42" t="str">
        <f>'Clean Data'!B14</f>
        <v>2003</v>
      </c>
      <c r="C14" s="43">
        <f>'Clean Data'!G14</f>
        <v>3.5204791562896709</v>
      </c>
      <c r="D14" s="43">
        <f t="shared" si="1"/>
        <v>12.393773489870034</v>
      </c>
      <c r="E14" s="43">
        <f>'Clean Data'!D14</f>
        <v>21.602438449057281</v>
      </c>
      <c r="F14" s="44">
        <f>'Clean Data'!E14</f>
        <v>22.85678112564694</v>
      </c>
      <c r="G14" s="43">
        <f>'Clean Data'!F14</f>
        <v>10.542</v>
      </c>
      <c r="H14" s="43">
        <f t="shared" si="2"/>
        <v>466.66534694530839</v>
      </c>
      <c r="I14" s="43">
        <f t="shared" si="3"/>
        <v>522.43244342573018</v>
      </c>
      <c r="J14" s="43">
        <f t="shared" si="4"/>
        <v>111.133764</v>
      </c>
      <c r="K14" s="43">
        <f t="shared" si="5"/>
        <v>493.76220741036224</v>
      </c>
      <c r="L14" s="44">
        <f t="shared" si="6"/>
        <v>227.73290612996186</v>
      </c>
      <c r="M14" s="43">
        <f t="shared" si="7"/>
        <v>240.95618662657003</v>
      </c>
    </row>
    <row r="15" spans="2:13" x14ac:dyDescent="0.3">
      <c r="B15" s="45" t="str">
        <f>'Clean Data'!B15</f>
        <v>2004</v>
      </c>
      <c r="C15" s="46">
        <f>'Clean Data'!G15</f>
        <v>6.1350087212325075</v>
      </c>
      <c r="D15" s="46">
        <f t="shared" si="1"/>
        <v>37.638332009598926</v>
      </c>
      <c r="E15" s="46">
        <f>'Clean Data'!D15</f>
        <v>8.5982616811526178</v>
      </c>
      <c r="F15" s="47">
        <f>'Clean Data'!E15</f>
        <v>25.167773403716986</v>
      </c>
      <c r="G15" s="46">
        <f>'Clean Data'!F15</f>
        <v>10.837999999999999</v>
      </c>
      <c r="H15" s="46">
        <f t="shared" si="2"/>
        <v>73.930103937577442</v>
      </c>
      <c r="I15" s="46">
        <f t="shared" si="3"/>
        <v>633.41681810084401</v>
      </c>
      <c r="J15" s="46">
        <f t="shared" si="4"/>
        <v>117.46224399999998</v>
      </c>
      <c r="K15" s="46">
        <f t="shared" si="5"/>
        <v>216.39910165711174</v>
      </c>
      <c r="L15" s="47">
        <f t="shared" si="6"/>
        <v>93.187960100332063</v>
      </c>
      <c r="M15" s="46">
        <f t="shared" si="7"/>
        <v>272.76832814948466</v>
      </c>
    </row>
    <row r="16" spans="2:13" x14ac:dyDescent="0.3">
      <c r="B16" s="42" t="str">
        <f>'Clean Data'!B16</f>
        <v>2005</v>
      </c>
      <c r="C16" s="43">
        <f>'Clean Data'!G16</f>
        <v>3.9667425435690227</v>
      </c>
      <c r="D16" s="43">
        <f t="shared" si="1"/>
        <v>15.735046406960439</v>
      </c>
      <c r="E16" s="43">
        <f>'Clean Data'!D16</f>
        <v>8.179160368020078</v>
      </c>
      <c r="F16" s="44">
        <f>'Clean Data'!E16</f>
        <v>27.567470871561529</v>
      </c>
      <c r="G16" s="43">
        <f>'Clean Data'!F16</f>
        <v>10.635999999999999</v>
      </c>
      <c r="H16" s="43">
        <f t="shared" si="2"/>
        <v>66.898664325790335</v>
      </c>
      <c r="I16" s="43">
        <f t="shared" si="3"/>
        <v>759.96545025439332</v>
      </c>
      <c r="J16" s="43">
        <f t="shared" si="4"/>
        <v>113.12449599999998</v>
      </c>
      <c r="K16" s="43">
        <f t="shared" si="5"/>
        <v>225.47876519922397</v>
      </c>
      <c r="L16" s="44">
        <f t="shared" si="6"/>
        <v>86.993549674261544</v>
      </c>
      <c r="M16" s="43">
        <f t="shared" si="7"/>
        <v>293.20762018992838</v>
      </c>
    </row>
    <row r="17" spans="2:13" x14ac:dyDescent="0.3">
      <c r="B17" s="45" t="str">
        <f>'Clean Data'!B17</f>
        <v>2006</v>
      </c>
      <c r="C17" s="46">
        <f>'Clean Data'!G17</f>
        <v>0.35668045965770467</v>
      </c>
      <c r="D17" s="46">
        <f t="shared" si="1"/>
        <v>0.1272209503016315</v>
      </c>
      <c r="E17" s="46">
        <f>'Clean Data'!D17</f>
        <v>9.5972421228844649</v>
      </c>
      <c r="F17" s="47">
        <f>'Clean Data'!E17</f>
        <v>30.157714917183696</v>
      </c>
      <c r="G17" s="46">
        <f>'Clean Data'!F17</f>
        <v>10.227</v>
      </c>
      <c r="H17" s="46">
        <f t="shared" si="2"/>
        <v>92.107056365267908</v>
      </c>
      <c r="I17" s="46">
        <f t="shared" si="3"/>
        <v>909.48776902612406</v>
      </c>
      <c r="J17" s="46">
        <f t="shared" si="4"/>
        <v>104.59152900000001</v>
      </c>
      <c r="K17" s="46">
        <f t="shared" si="5"/>
        <v>289.43089193313654</v>
      </c>
      <c r="L17" s="47">
        <f t="shared" si="6"/>
        <v>98.150995190739422</v>
      </c>
      <c r="M17" s="46">
        <f t="shared" si="7"/>
        <v>308.42295045803769</v>
      </c>
    </row>
    <row r="18" spans="2:13" x14ac:dyDescent="0.3">
      <c r="B18" s="42" t="str">
        <f>'Clean Data'!B18</f>
        <v>2007</v>
      </c>
      <c r="C18" s="43">
        <f>'Clean Data'!G18</f>
        <v>-1.3093355566187199</v>
      </c>
      <c r="D18" s="43">
        <f t="shared" si="1"/>
        <v>1.714359599826053</v>
      </c>
      <c r="E18" s="43">
        <f>'Clean Data'!D18</f>
        <v>8.7561809097263232</v>
      </c>
      <c r="F18" s="44">
        <f>'Clean Data'!E18</f>
        <v>29.549341327370737</v>
      </c>
      <c r="G18" s="43">
        <f>'Clean Data'!F18</f>
        <v>10.285</v>
      </c>
      <c r="H18" s="43">
        <f t="shared" si="2"/>
        <v>76.6707041238557</v>
      </c>
      <c r="I18" s="43">
        <f t="shared" si="3"/>
        <v>873.16357288146014</v>
      </c>
      <c r="J18" s="43">
        <f t="shared" si="4"/>
        <v>105.78122500000001</v>
      </c>
      <c r="K18" s="43">
        <f t="shared" si="5"/>
        <v>258.73937842571075</v>
      </c>
      <c r="L18" s="44">
        <f t="shared" si="6"/>
        <v>90.057320656535239</v>
      </c>
      <c r="M18" s="43">
        <f t="shared" si="7"/>
        <v>303.91497555200806</v>
      </c>
    </row>
    <row r="19" spans="2:13" x14ac:dyDescent="0.3">
      <c r="B19" s="45" t="str">
        <f>'Clean Data'!B19</f>
        <v>2008</v>
      </c>
      <c r="C19" s="46">
        <f>'Clean Data'!G19</f>
        <v>-4.6990065422604239</v>
      </c>
      <c r="D19" s="46">
        <f t="shared" si="1"/>
        <v>22.080662484206265</v>
      </c>
      <c r="E19" s="46">
        <f>'Clean Data'!D19</f>
        <v>10.44412837648847</v>
      </c>
      <c r="F19" s="47">
        <f>'Clean Data'!E19</f>
        <v>29.726200747457419</v>
      </c>
      <c r="G19" s="46">
        <f>'Clean Data'!F19</f>
        <v>10.965</v>
      </c>
      <c r="H19" s="46">
        <f t="shared" si="2"/>
        <v>109.07981754457168</v>
      </c>
      <c r="I19" s="46">
        <f t="shared" si="3"/>
        <v>883.64701087813796</v>
      </c>
      <c r="J19" s="46">
        <f t="shared" si="4"/>
        <v>120.23122499999999</v>
      </c>
      <c r="K19" s="46">
        <f t="shared" si="5"/>
        <v>310.46425675171281</v>
      </c>
      <c r="L19" s="47">
        <f t="shared" si="6"/>
        <v>114.51986764819607</v>
      </c>
      <c r="M19" s="46">
        <f t="shared" si="7"/>
        <v>325.94779119587059</v>
      </c>
    </row>
    <row r="20" spans="2:13" x14ac:dyDescent="0.3">
      <c r="B20" s="42" t="str">
        <f>'Clean Data'!B20</f>
        <v>2009</v>
      </c>
      <c r="C20" s="43">
        <f>'Clean Data'!G20</f>
        <v>-4.5015100766063121</v>
      </c>
      <c r="D20" s="43">
        <f t="shared" si="1"/>
        <v>20.263592969788167</v>
      </c>
      <c r="E20" s="43">
        <f>'Clean Data'!D20</f>
        <v>6.2509766309062647</v>
      </c>
      <c r="F20" s="44">
        <f>'Clean Data'!E20</f>
        <v>23.694875674949468</v>
      </c>
      <c r="G20" s="43">
        <f>'Clean Data'!F20</f>
        <v>14.026</v>
      </c>
      <c r="H20" s="43">
        <f t="shared" si="2"/>
        <v>39.074708840136232</v>
      </c>
      <c r="I20" s="43">
        <f t="shared" si="3"/>
        <v>561.44713325131204</v>
      </c>
      <c r="J20" s="43">
        <f t="shared" si="4"/>
        <v>196.72867600000001</v>
      </c>
      <c r="K20" s="43">
        <f t="shared" si="5"/>
        <v>148.11611411633842</v>
      </c>
      <c r="L20" s="44">
        <f t="shared" si="6"/>
        <v>87.676198225091269</v>
      </c>
      <c r="M20" s="43">
        <f t="shared" si="7"/>
        <v>332.34432621684124</v>
      </c>
    </row>
    <row r="21" spans="2:13" x14ac:dyDescent="0.3">
      <c r="B21" s="45" t="str">
        <f>'Clean Data'!B21</f>
        <v>2010</v>
      </c>
      <c r="C21" s="46">
        <f>'Clean Data'!G21</f>
        <v>4.4355323994100289</v>
      </c>
      <c r="D21" s="46">
        <f t="shared" si="1"/>
        <v>19.673947666216087</v>
      </c>
      <c r="E21" s="46">
        <f>'Clean Data'!D21</f>
        <v>8.5664442055297592</v>
      </c>
      <c r="F21" s="47">
        <f>'Clean Data'!E21</f>
        <v>28.452077782551743</v>
      </c>
      <c r="G21" s="46">
        <f>'Clean Data'!F21</f>
        <v>11.879</v>
      </c>
      <c r="H21" s="46">
        <f t="shared" si="2"/>
        <v>73.383966326454384</v>
      </c>
      <c r="I21" s="46">
        <f t="shared" si="3"/>
        <v>809.52073014437451</v>
      </c>
      <c r="J21" s="46">
        <f t="shared" si="4"/>
        <v>141.11064099999999</v>
      </c>
      <c r="K21" s="46">
        <f t="shared" si="5"/>
        <v>243.73313685562238</v>
      </c>
      <c r="L21" s="47">
        <f t="shared" si="6"/>
        <v>101.76079071748801</v>
      </c>
      <c r="M21" s="46">
        <f t="shared" si="7"/>
        <v>337.98223197893213</v>
      </c>
    </row>
    <row r="22" spans="2:13" x14ac:dyDescent="0.3">
      <c r="B22" s="42" t="str">
        <f>'Clean Data'!B22</f>
        <v>2011</v>
      </c>
      <c r="C22" s="43">
        <f>'Clean Data'!G22</f>
        <v>2.7544237508438041</v>
      </c>
      <c r="D22" s="43">
        <f t="shared" si="1"/>
        <v>7.5868501992124502</v>
      </c>
      <c r="E22" s="43">
        <f>'Clean Data'!D22</f>
        <v>6.471879671151</v>
      </c>
      <c r="F22" s="44">
        <f>'Clean Data'!E22</f>
        <v>31.958286232968963</v>
      </c>
      <c r="G22" s="43">
        <f>'Clean Data'!F22</f>
        <v>9.7889999999999997</v>
      </c>
      <c r="H22" s="43">
        <f t="shared" si="2"/>
        <v>41.885226477857579</v>
      </c>
      <c r="I22" s="43">
        <f t="shared" si="3"/>
        <v>1021.3320589483735</v>
      </c>
      <c r="J22" s="43">
        <f t="shared" si="4"/>
        <v>95.82452099999999</v>
      </c>
      <c r="K22" s="43">
        <f t="shared" si="5"/>
        <v>206.83018299597671</v>
      </c>
      <c r="L22" s="44">
        <f t="shared" si="6"/>
        <v>63.353230100897136</v>
      </c>
      <c r="M22" s="43">
        <f t="shared" si="7"/>
        <v>312.83966393453318</v>
      </c>
    </row>
    <row r="23" spans="2:13" x14ac:dyDescent="0.3">
      <c r="B23" s="45" t="str">
        <f>'Clean Data'!B23</f>
        <v>2012</v>
      </c>
      <c r="C23" s="46">
        <f>'Clean Data'!G23</f>
        <v>-2.770735272361545</v>
      </c>
      <c r="D23" s="46">
        <f t="shared" si="1"/>
        <v>7.6769739495084055</v>
      </c>
      <c r="E23" s="46">
        <f>'Clean Data'!D23</f>
        <v>8.8915699651216258</v>
      </c>
      <c r="F23" s="47">
        <f>'Clean Data'!E23</f>
        <v>29.421538205313023</v>
      </c>
      <c r="G23" s="46">
        <f>'Clean Data'!F23</f>
        <v>9.2100000000000009</v>
      </c>
      <c r="H23" s="46">
        <f t="shared" si="2"/>
        <v>79.060016444652987</v>
      </c>
      <c r="I23" s="46">
        <f t="shared" si="3"/>
        <v>865.62691036669389</v>
      </c>
      <c r="J23" s="46">
        <f t="shared" si="4"/>
        <v>84.824100000000016</v>
      </c>
      <c r="K23" s="46">
        <f t="shared" si="5"/>
        <v>261.60366543403973</v>
      </c>
      <c r="L23" s="47">
        <f t="shared" si="6"/>
        <v>81.891359378770176</v>
      </c>
      <c r="M23" s="46">
        <f t="shared" si="7"/>
        <v>270.97236687093294</v>
      </c>
    </row>
    <row r="24" spans="2:13" x14ac:dyDescent="0.3">
      <c r="B24" s="42" t="str">
        <f>'Clean Data'!B24</f>
        <v>2013</v>
      </c>
      <c r="C24" s="43">
        <f>'Clean Data'!G24</f>
        <v>0.50968600432111622</v>
      </c>
      <c r="D24" s="43">
        <f t="shared" si="1"/>
        <v>0.25977982300082492</v>
      </c>
      <c r="E24" s="43">
        <f>'Clean Data'!D24</f>
        <v>7.4930903054769313</v>
      </c>
      <c r="F24" s="44">
        <f>'Clean Data'!E24</f>
        <v>31.36494319908558</v>
      </c>
      <c r="G24" s="43">
        <f>'Clean Data'!F24</f>
        <v>9.7129999999999992</v>
      </c>
      <c r="H24" s="43">
        <f t="shared" si="2"/>
        <v>56.146402326032373</v>
      </c>
      <c r="I24" s="43">
        <f t="shared" si="3"/>
        <v>983.75966188186476</v>
      </c>
      <c r="J24" s="43">
        <f t="shared" si="4"/>
        <v>94.342368999999991</v>
      </c>
      <c r="K24" s="43">
        <f t="shared" si="5"/>
        <v>235.02035181690277</v>
      </c>
      <c r="L24" s="44">
        <f t="shared" si="6"/>
        <v>72.780386137097423</v>
      </c>
      <c r="M24" s="43">
        <f t="shared" si="7"/>
        <v>304.6476932927182</v>
      </c>
    </row>
    <row r="25" spans="2:13" x14ac:dyDescent="0.3">
      <c r="B25" s="45" t="str">
        <f>'Clean Data'!B25</f>
        <v>2014</v>
      </c>
      <c r="C25" s="46">
        <f>'Clean Data'!G25</f>
        <v>-2.5522944922794437</v>
      </c>
      <c r="D25" s="46">
        <f t="shared" si="1"/>
        <v>6.5142071753199833</v>
      </c>
      <c r="E25" s="46">
        <f>'Clean Data'!D25</f>
        <v>8.8545727136431598</v>
      </c>
      <c r="F25" s="47">
        <f>'Clean Data'!E25</f>
        <v>30.211539066491948</v>
      </c>
      <c r="G25" s="46">
        <f>'Clean Data'!F25</f>
        <v>9.9009999999999998</v>
      </c>
      <c r="H25" s="46">
        <f t="shared" si="2"/>
        <v>78.403457941193992</v>
      </c>
      <c r="I25" s="46">
        <f t="shared" si="3"/>
        <v>912.73709276616921</v>
      </c>
      <c r="J25" s="46">
        <f t="shared" si="4"/>
        <v>98.029800999999992</v>
      </c>
      <c r="K25" s="46">
        <f t="shared" si="5"/>
        <v>267.51026945532396</v>
      </c>
      <c r="L25" s="47">
        <f t="shared" si="6"/>
        <v>87.669124437780923</v>
      </c>
      <c r="M25" s="46">
        <f t="shared" si="7"/>
        <v>299.12444829733676</v>
      </c>
    </row>
    <row r="26" spans="2:13" x14ac:dyDescent="0.3">
      <c r="B26" s="42" t="str">
        <f>'Clean Data'!B26</f>
        <v>2015</v>
      </c>
      <c r="C26" s="43">
        <f>'Clean Data'!G26</f>
        <v>-0.89139638499531237</v>
      </c>
      <c r="D26" s="43">
        <f t="shared" si="1"/>
        <v>0.7945875151827112</v>
      </c>
      <c r="E26" s="43">
        <f>'Clean Data'!D26</f>
        <v>7.6708536484588477</v>
      </c>
      <c r="F26" s="44">
        <f>'Clean Data'!E26</f>
        <v>30.062899150790955</v>
      </c>
      <c r="G26" s="43">
        <f>'Clean Data'!F26</f>
        <v>10.304</v>
      </c>
      <c r="H26" s="43">
        <f t="shared" si="2"/>
        <v>58.841995696074413</v>
      </c>
      <c r="I26" s="43">
        <f t="shared" si="3"/>
        <v>903.77790535062752</v>
      </c>
      <c r="J26" s="43">
        <f t="shared" si="4"/>
        <v>106.17241600000001</v>
      </c>
      <c r="K26" s="43">
        <f t="shared" si="5"/>
        <v>230.6080996340952</v>
      </c>
      <c r="L26" s="44">
        <f t="shared" si="6"/>
        <v>79.040475993719966</v>
      </c>
      <c r="M26" s="43">
        <f t="shared" si="7"/>
        <v>309.76811284975003</v>
      </c>
    </row>
    <row r="27" spans="2:13" x14ac:dyDescent="0.3">
      <c r="B27" s="45" t="str">
        <f>'Clean Data'!B27</f>
        <v>2016</v>
      </c>
      <c r="C27" s="46">
        <f>'Clean Data'!G27</f>
        <v>-2.5803789829608483</v>
      </c>
      <c r="D27" s="46">
        <f t="shared" si="1"/>
        <v>6.6583556957060619</v>
      </c>
      <c r="E27" s="46">
        <f>'Clean Data'!D27</f>
        <v>7.7751341532833012</v>
      </c>
      <c r="F27" s="47">
        <f>'Clean Data'!E27</f>
        <v>29.828830017521625</v>
      </c>
      <c r="G27" s="46">
        <f>'Clean Data'!F27</f>
        <v>10.898999999999999</v>
      </c>
      <c r="H27" s="46">
        <f t="shared" si="2"/>
        <v>60.452711101552438</v>
      </c>
      <c r="I27" s="46">
        <f t="shared" si="3"/>
        <v>889.75910021419918</v>
      </c>
      <c r="J27" s="46">
        <f t="shared" si="4"/>
        <v>118.78820099999999</v>
      </c>
      <c r="K27" s="46">
        <f t="shared" si="5"/>
        <v>231.92315502171451</v>
      </c>
      <c r="L27" s="47">
        <f t="shared" si="6"/>
        <v>84.741187136634693</v>
      </c>
      <c r="M27" s="46">
        <f t="shared" si="7"/>
        <v>325.10441836096817</v>
      </c>
    </row>
    <row r="28" spans="2:13" x14ac:dyDescent="0.3">
      <c r="B28" s="42" t="str">
        <f>'Clean Data'!B28</f>
        <v>2017</v>
      </c>
      <c r="C28" s="43">
        <f>'Clean Data'!G28</f>
        <v>0.79253955573114609</v>
      </c>
      <c r="D28" s="43">
        <f t="shared" si="1"/>
        <v>0.62811894739852248</v>
      </c>
      <c r="E28" s="43">
        <f>'Clean Data'!D28</f>
        <v>11.144311084076421</v>
      </c>
      <c r="F28" s="44">
        <f>'Clean Data'!E28</f>
        <v>32.794692197245077</v>
      </c>
      <c r="G28" s="43">
        <f>'Clean Data'!F28</f>
        <v>10.919</v>
      </c>
      <c r="H28" s="43">
        <f t="shared" si="2"/>
        <v>124.19566953866857</v>
      </c>
      <c r="I28" s="43">
        <f t="shared" si="3"/>
        <v>1075.4918363120471</v>
      </c>
      <c r="J28" s="43">
        <f t="shared" si="4"/>
        <v>119.22456100000001</v>
      </c>
      <c r="K28" s="43">
        <f t="shared" si="5"/>
        <v>365.47425175263282</v>
      </c>
      <c r="L28" s="44">
        <f t="shared" si="6"/>
        <v>121.68473272703044</v>
      </c>
      <c r="M28" s="43">
        <f t="shared" si="7"/>
        <v>358.08524410171901</v>
      </c>
    </row>
    <row r="29" spans="2:13" x14ac:dyDescent="0.3">
      <c r="B29" s="45" t="str">
        <f>'Clean Data'!B29</f>
        <v>2018</v>
      </c>
      <c r="C29" s="46">
        <f>'Clean Data'!G29</f>
        <v>-2.5414918404042677</v>
      </c>
      <c r="D29" s="46">
        <f t="shared" si="1"/>
        <v>6.4591807748414718</v>
      </c>
      <c r="E29" s="46">
        <f>'Clean Data'!D29</f>
        <v>16.33246389889289</v>
      </c>
      <c r="F29" s="47">
        <f>'Clean Data'!E29</f>
        <v>31.340800909141564</v>
      </c>
      <c r="G29" s="46">
        <f>'Clean Data'!F29</f>
        <v>10.956</v>
      </c>
      <c r="H29" s="46">
        <f t="shared" si="2"/>
        <v>266.74937700863956</v>
      </c>
      <c r="I29" s="46">
        <f t="shared" si="3"/>
        <v>982.24580162644861</v>
      </c>
      <c r="J29" s="46">
        <f t="shared" si="4"/>
        <v>120.03393599999998</v>
      </c>
      <c r="K29" s="46">
        <f t="shared" si="5"/>
        <v>511.87249941094404</v>
      </c>
      <c r="L29" s="47">
        <f t="shared" si="6"/>
        <v>178.9384744762705</v>
      </c>
      <c r="M29" s="46">
        <f t="shared" si="7"/>
        <v>343.36981476055496</v>
      </c>
    </row>
    <row r="30" spans="2:13" x14ac:dyDescent="0.3">
      <c r="B30" s="42" t="str">
        <f>'Clean Data'!B30</f>
        <v>2019</v>
      </c>
      <c r="C30" s="43">
        <f>'Clean Data'!G30</f>
        <v>0.14440685877376325</v>
      </c>
      <c r="D30" s="43">
        <f t="shared" si="1"/>
        <v>2.0853340860905602E-2</v>
      </c>
      <c r="E30" s="43">
        <f>'Clean Data'!D30</f>
        <v>15.176821572002231</v>
      </c>
      <c r="F30" s="44">
        <f>'Clean Data'!E30</f>
        <v>27.505830383216306</v>
      </c>
      <c r="G30" s="43">
        <f>'Clean Data'!F30</f>
        <v>13.73</v>
      </c>
      <c r="H30" s="43">
        <f t="shared" si="2"/>
        <v>230.33591302839227</v>
      </c>
      <c r="I30" s="43">
        <f t="shared" si="3"/>
        <v>756.57070507026526</v>
      </c>
      <c r="J30" s="43">
        <f t="shared" si="4"/>
        <v>188.5129</v>
      </c>
      <c r="K30" s="43">
        <f t="shared" si="5"/>
        <v>417.4510799158316</v>
      </c>
      <c r="L30" s="44">
        <f t="shared" si="6"/>
        <v>208.37776018359062</v>
      </c>
      <c r="M30" s="43">
        <f t="shared" si="7"/>
        <v>377.65505116155992</v>
      </c>
    </row>
    <row r="31" spans="2:13" x14ac:dyDescent="0.3">
      <c r="B31" s="45" t="str">
        <f>'Clean Data'!B31</f>
        <v>2020</v>
      </c>
      <c r="C31" s="46">
        <f>'Clean Data'!G31</f>
        <v>-3.2378896699267923</v>
      </c>
      <c r="D31" s="46">
        <f t="shared" si="1"/>
        <v>10.483929514618632</v>
      </c>
      <c r="E31" s="46">
        <f>'Clean Data'!D31</f>
        <v>12.27895744625741</v>
      </c>
      <c r="F31" s="47">
        <f>'Clean Data'!E31</f>
        <v>34.154056079947665</v>
      </c>
      <c r="G31" s="46">
        <f>'Clean Data'!F31</f>
        <v>13.148</v>
      </c>
      <c r="H31" s="46">
        <f t="shared" si="2"/>
        <v>150.77279596700029</v>
      </c>
      <c r="I31" s="46">
        <f t="shared" si="3"/>
        <v>1166.4995467122101</v>
      </c>
      <c r="J31" s="46">
        <f t="shared" si="4"/>
        <v>172.86990399999999</v>
      </c>
      <c r="K31" s="46">
        <f t="shared" si="5"/>
        <v>419.37620122276655</v>
      </c>
      <c r="L31" s="47">
        <f t="shared" si="6"/>
        <v>161.44373250339243</v>
      </c>
      <c r="M31" s="46">
        <f t="shared" si="7"/>
        <v>449.05752933915187</v>
      </c>
    </row>
    <row r="32" spans="2:13" x14ac:dyDescent="0.3">
      <c r="B32" s="42" t="str">
        <f>'Clean Data'!B32</f>
        <v>2021</v>
      </c>
      <c r="C32" s="43">
        <f>'Clean Data'!G32</f>
        <v>5.7679123212217114</v>
      </c>
      <c r="D32" s="43">
        <f t="shared" si="1"/>
        <v>33.26881254530123</v>
      </c>
      <c r="E32" s="43">
        <f>'Clean Data'!D32</f>
        <v>19.596492691332401</v>
      </c>
      <c r="F32" s="44">
        <f>'Clean Data'!E32</f>
        <v>34.376144470162288</v>
      </c>
      <c r="G32" s="43">
        <f>'Clean Data'!F32</f>
        <v>11.968999999999999</v>
      </c>
      <c r="H32" s="43">
        <f t="shared" si="2"/>
        <v>384.0225258014442</v>
      </c>
      <c r="I32" s="43">
        <f t="shared" si="3"/>
        <v>1181.7193086334692</v>
      </c>
      <c r="J32" s="43">
        <f t="shared" si="4"/>
        <v>143.25696099999999</v>
      </c>
      <c r="K32" s="43">
        <f t="shared" si="5"/>
        <v>673.65186386572202</v>
      </c>
      <c r="L32" s="44">
        <f t="shared" si="6"/>
        <v>234.55042102255749</v>
      </c>
      <c r="M32" s="43">
        <f t="shared" si="7"/>
        <v>411.44807316337238</v>
      </c>
    </row>
    <row r="33" spans="2:13" x14ac:dyDescent="0.3">
      <c r="B33" s="45" t="str">
        <f>'Clean Data'!B33</f>
        <v>2022</v>
      </c>
      <c r="C33" s="46">
        <f>'Clean Data'!G33</f>
        <v>-1.0424903512474764</v>
      </c>
      <c r="D33" s="46">
        <f t="shared" si="1"/>
        <v>1.0867861324440866</v>
      </c>
      <c r="E33" s="46">
        <f>'Clean Data'!D33</f>
        <v>72.308835989120652</v>
      </c>
      <c r="F33" s="47">
        <f>'Clean Data'!E33</f>
        <v>38.602139717568008</v>
      </c>
      <c r="G33" s="46">
        <f>'Clean Data'!F33</f>
        <v>10.465</v>
      </c>
      <c r="H33" s="46">
        <f t="shared" si="2"/>
        <v>5228.5677621015502</v>
      </c>
      <c r="I33" s="46">
        <f t="shared" si="3"/>
        <v>1490.1251907746414</v>
      </c>
      <c r="J33" s="46">
        <f t="shared" si="4"/>
        <v>109.51622499999999</v>
      </c>
      <c r="K33" s="46">
        <f t="shared" si="5"/>
        <v>2791.2757896667454</v>
      </c>
      <c r="L33" s="47">
        <f t="shared" si="6"/>
        <v>756.71196862614761</v>
      </c>
      <c r="M33" s="46">
        <f t="shared" si="7"/>
        <v>403.97139214434918</v>
      </c>
    </row>
    <row r="34" spans="2:13" x14ac:dyDescent="0.3">
      <c r="B34" s="42" t="str">
        <f>'Clean Data'!B34</f>
        <v>2023</v>
      </c>
      <c r="C34" s="43">
        <f>'Clean Data'!G34</f>
        <v>-1.9553358794929405</v>
      </c>
      <c r="D34" s="43">
        <f t="shared" si="1"/>
        <v>3.823338401632431</v>
      </c>
      <c r="E34" s="43">
        <f>'Clean Data'!D34</f>
        <v>53.859408759331508</v>
      </c>
      <c r="F34" s="44">
        <f>'Clean Data'!E34</f>
        <v>34.588276511404331</v>
      </c>
      <c r="G34" s="43">
        <f>'Clean Data'!F34</f>
        <v>9.3879999999999999</v>
      </c>
      <c r="H34" s="43">
        <f t="shared" si="2"/>
        <v>2900.8359119047554</v>
      </c>
      <c r="I34" s="43">
        <f t="shared" si="3"/>
        <v>1196.3488720293647</v>
      </c>
      <c r="J34" s="43">
        <f t="shared" si="4"/>
        <v>88.134543999999991</v>
      </c>
      <c r="K34" s="43">
        <f t="shared" si="5"/>
        <v>1862.9041229085108</v>
      </c>
      <c r="L34" s="44">
        <f t="shared" si="6"/>
        <v>505.63212943260419</v>
      </c>
      <c r="M34" s="43">
        <f t="shared" si="7"/>
        <v>324.71473988906388</v>
      </c>
    </row>
    <row r="35" spans="2:13" x14ac:dyDescent="0.3">
      <c r="B35" s="45" t="str">
        <f>'Clean Data'!B35</f>
        <v>2024</v>
      </c>
      <c r="C35" s="46">
        <f>'Clean Data'!G35</f>
        <v>-2.2959800355641811</v>
      </c>
      <c r="D35" s="46">
        <f t="shared" si="1"/>
        <v>5.2715243237092979</v>
      </c>
      <c r="E35" s="46">
        <f>'Clean Data'!D35</f>
        <v>58.506450730034153</v>
      </c>
      <c r="F35" s="47">
        <f>'Clean Data'!E35</f>
        <v>30.731155954920837</v>
      </c>
      <c r="G35" s="46">
        <f>'Clean Data'!F35</f>
        <v>8.8000000000000007</v>
      </c>
      <c r="H35" s="46">
        <f t="shared" si="2"/>
        <v>3423.0047770259139</v>
      </c>
      <c r="I35" s="46">
        <f t="shared" si="3"/>
        <v>944.40394632566642</v>
      </c>
      <c r="J35" s="46">
        <f t="shared" si="4"/>
        <v>77.440000000000012</v>
      </c>
      <c r="K35" s="46">
        <f t="shared" si="5"/>
        <v>1797.9708617535716</v>
      </c>
      <c r="L35" s="47">
        <f t="shared" si="6"/>
        <v>514.85676642430064</v>
      </c>
      <c r="M35" s="46">
        <f t="shared" si="7"/>
        <v>270.43417240330336</v>
      </c>
    </row>
    <row r="36" spans="2:13" x14ac:dyDescent="0.3">
      <c r="C36" s="83"/>
    </row>
    <row r="37" spans="2:13" ht="16.5" x14ac:dyDescent="0.3">
      <c r="B37" s="106" t="s">
        <v>153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</row>
    <row r="38" spans="2:13" ht="15.75" thickBot="1" x14ac:dyDescent="0.35">
      <c r="B38" t="s">
        <v>152</v>
      </c>
    </row>
    <row r="39" spans="2:13" x14ac:dyDescent="0.3">
      <c r="B39" s="85" t="s">
        <v>77</v>
      </c>
      <c r="C39" s="85"/>
      <c r="E39" s="89" t="s">
        <v>68</v>
      </c>
      <c r="F39" s="89" t="s">
        <v>154</v>
      </c>
    </row>
    <row r="40" spans="2:13" x14ac:dyDescent="0.3">
      <c r="B40" t="s">
        <v>78</v>
      </c>
      <c r="C40" s="86">
        <v>0.79086605069785831</v>
      </c>
      <c r="E40" s="53" t="s">
        <v>159</v>
      </c>
      <c r="F40" s="88">
        <f>C44</f>
        <v>30</v>
      </c>
    </row>
    <row r="41" spans="2:13" x14ac:dyDescent="0.3">
      <c r="B41" t="s">
        <v>79</v>
      </c>
      <c r="C41" s="86">
        <v>0.62546911014642748</v>
      </c>
      <c r="E41" s="53" t="s">
        <v>155</v>
      </c>
      <c r="F41" s="47">
        <f>C41</f>
        <v>0.62546911014642748</v>
      </c>
    </row>
    <row r="42" spans="2:13" x14ac:dyDescent="0.3">
      <c r="B42" t="s">
        <v>80</v>
      </c>
      <c r="C42" s="86">
        <v>0.4569302097123199</v>
      </c>
      <c r="E42" s="53" t="s">
        <v>156</v>
      </c>
      <c r="F42" s="47">
        <f>F40*F41</f>
        <v>18.764073304392824</v>
      </c>
    </row>
    <row r="43" spans="2:13" x14ac:dyDescent="0.3">
      <c r="B43" t="s">
        <v>81</v>
      </c>
      <c r="C43" s="86">
        <v>9.4557577573471256</v>
      </c>
      <c r="E43" s="53" t="s">
        <v>157</v>
      </c>
      <c r="F43" s="88">
        <v>9</v>
      </c>
    </row>
    <row r="44" spans="2:13" ht="15.75" thickBot="1" x14ac:dyDescent="0.35">
      <c r="B44" s="84" t="s">
        <v>82</v>
      </c>
      <c r="C44" s="84">
        <v>30</v>
      </c>
      <c r="E44" s="53" t="s">
        <v>158</v>
      </c>
      <c r="F44" s="47">
        <f>_xlfn.CHISQ.INV.RT(0.05,F43)</f>
        <v>16.918977604620451</v>
      </c>
    </row>
    <row r="46" spans="2:13" ht="15.75" customHeight="1" x14ac:dyDescent="0.3">
      <c r="B46" s="111" t="s">
        <v>160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</row>
    <row r="47" spans="2:13" x14ac:dyDescent="0.3">
      <c r="B47" s="93" t="s">
        <v>161</v>
      </c>
    </row>
    <row r="48" spans="2:13" x14ac:dyDescent="0.3">
      <c r="B48" s="93" t="s">
        <v>162</v>
      </c>
    </row>
  </sheetData>
  <mergeCells count="6">
    <mergeCell ref="B1:M1"/>
    <mergeCell ref="B37:M37"/>
    <mergeCell ref="B46:M46"/>
    <mergeCell ref="B3:L3"/>
    <mergeCell ref="B4:L4"/>
    <mergeCell ref="B2:M2"/>
  </mergeCells>
  <pageMargins left="0.25" right="0.25" top="0.75" bottom="0.75" header="0.3" footer="0.3"/>
  <pageSetup scale="6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5CFE-AB0E-4544-822E-EB5166E45210}">
  <sheetPr>
    <tabColor theme="4" tint="-0.249977111117893"/>
    <pageSetUpPr fitToPage="1"/>
  </sheetPr>
  <dimension ref="B1:M40"/>
  <sheetViews>
    <sheetView showGridLines="0" zoomScaleNormal="100" workbookViewId="0"/>
  </sheetViews>
  <sheetFormatPr defaultRowHeight="15" x14ac:dyDescent="0.3"/>
  <cols>
    <col min="2" max="2" width="12.140625" customWidth="1"/>
    <col min="3" max="3" width="18.140625" customWidth="1"/>
    <col min="4" max="4" width="13.140625" customWidth="1"/>
    <col min="5" max="5" width="12.28515625" customWidth="1"/>
    <col min="6" max="6" width="9.85546875" customWidth="1"/>
    <col min="8" max="8" width="13.140625" customWidth="1"/>
    <col min="11" max="11" width="11.7109375" customWidth="1"/>
  </cols>
  <sheetData>
    <row r="1" spans="2:13" ht="50.25" customHeight="1" x14ac:dyDescent="0.3">
      <c r="B1" s="110" t="s">
        <v>140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</row>
    <row r="2" spans="2:13" ht="16.5" x14ac:dyDescent="0.3">
      <c r="B2" s="106" t="s">
        <v>163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2:13" ht="16.5" x14ac:dyDescent="0.3">
      <c r="B3" s="114" t="s">
        <v>164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</row>
    <row r="4" spans="2:13" ht="15" customHeight="1" x14ac:dyDescent="0.3">
      <c r="B4" s="94" t="s">
        <v>62</v>
      </c>
      <c r="C4" s="95" t="s">
        <v>165</v>
      </c>
      <c r="D4" s="94" t="s">
        <v>167</v>
      </c>
      <c r="E4" s="94" t="s">
        <v>168</v>
      </c>
      <c r="F4" s="94" t="s">
        <v>166</v>
      </c>
      <c r="H4" s="115" t="s">
        <v>170</v>
      </c>
      <c r="I4" s="115"/>
      <c r="J4" s="115"/>
      <c r="K4" s="115"/>
      <c r="L4" s="115"/>
      <c r="M4" s="115"/>
    </row>
    <row r="5" spans="2:13" x14ac:dyDescent="0.3">
      <c r="B5" s="42" t="str">
        <f>'White''s Test'!B6</f>
        <v>1995</v>
      </c>
      <c r="C5" s="43">
        <f>'White''s Test'!C6</f>
        <v>4.3224779629303214</v>
      </c>
      <c r="D5" s="43" t="s">
        <v>169</v>
      </c>
      <c r="E5" s="96" t="s">
        <v>169</v>
      </c>
      <c r="F5" s="43">
        <f t="shared" ref="F5:F34" si="0">C5^2</f>
        <v>18.683815740018261</v>
      </c>
    </row>
    <row r="6" spans="2:13" x14ac:dyDescent="0.3">
      <c r="B6" s="45" t="str">
        <f>'White''s Test'!B7</f>
        <v>1996</v>
      </c>
      <c r="C6" s="46">
        <f>'White''s Test'!C7</f>
        <v>1.14231412389766</v>
      </c>
      <c r="D6" s="46">
        <f t="shared" ref="D6:D34" si="1">C6-C5</f>
        <v>-3.1801638390326614</v>
      </c>
      <c r="E6" s="87">
        <f t="shared" ref="E6:E34" si="2">D6^2</f>
        <v>10.113442043090956</v>
      </c>
      <c r="F6" s="46">
        <f t="shared" si="0"/>
        <v>1.3048815576560784</v>
      </c>
      <c r="H6" s="97" t="s">
        <v>68</v>
      </c>
      <c r="I6" s="97" t="s">
        <v>154</v>
      </c>
      <c r="K6" s="97" t="s">
        <v>181</v>
      </c>
      <c r="L6" s="97"/>
      <c r="M6" s="97"/>
    </row>
    <row r="7" spans="2:13" x14ac:dyDescent="0.3">
      <c r="B7" s="42" t="str">
        <f>'White''s Test'!B8</f>
        <v>1997</v>
      </c>
      <c r="C7" s="43">
        <f>'White''s Test'!C8</f>
        <v>2.8466297788897581</v>
      </c>
      <c r="D7" s="43">
        <f t="shared" si="1"/>
        <v>1.7043156549920981</v>
      </c>
      <c r="E7" s="96">
        <f t="shared" si="2"/>
        <v>2.9046918518511444</v>
      </c>
      <c r="F7" s="43">
        <f t="shared" si="0"/>
        <v>8.1033010980619533</v>
      </c>
      <c r="H7" s="98" t="s">
        <v>171</v>
      </c>
      <c r="I7" s="99">
        <f>SUM(E6:E34)</f>
        <v>678.9976879245861</v>
      </c>
      <c r="K7" s="97" t="s">
        <v>174</v>
      </c>
      <c r="L7" s="97" t="s">
        <v>154</v>
      </c>
    </row>
    <row r="8" spans="2:13" x14ac:dyDescent="0.3">
      <c r="B8" s="45" t="str">
        <f>'White''s Test'!B9</f>
        <v>1998</v>
      </c>
      <c r="C8" s="46">
        <f>'White''s Test'!C9</f>
        <v>-1.8206801887811626</v>
      </c>
      <c r="D8" s="46">
        <f t="shared" si="1"/>
        <v>-4.6673099676709207</v>
      </c>
      <c r="E8" s="87">
        <f t="shared" si="2"/>
        <v>21.783782334320332</v>
      </c>
      <c r="F8" s="46">
        <f t="shared" si="0"/>
        <v>3.3148763498202096</v>
      </c>
      <c r="H8" s="98" t="s">
        <v>172</v>
      </c>
      <c r="I8" s="100">
        <f>SUM(F5:F34)</f>
        <v>363.52990407483821</v>
      </c>
      <c r="K8" t="s">
        <v>182</v>
      </c>
      <c r="L8" t="s">
        <v>175</v>
      </c>
    </row>
    <row r="9" spans="2:13" x14ac:dyDescent="0.3">
      <c r="B9" s="42" t="str">
        <f>'White''s Test'!B10</f>
        <v>1999</v>
      </c>
      <c r="C9" s="43">
        <f>'White''s Test'!C10</f>
        <v>-5.3374318687843623</v>
      </c>
      <c r="D9" s="43">
        <f t="shared" si="1"/>
        <v>-3.5167516800031997</v>
      </c>
      <c r="E9" s="96">
        <f t="shared" si="2"/>
        <v>12.367542378805327</v>
      </c>
      <c r="F9" s="43">
        <f t="shared" si="0"/>
        <v>28.488178953914929</v>
      </c>
      <c r="H9" s="98" t="s">
        <v>173</v>
      </c>
      <c r="I9" s="101">
        <f>I7/I8</f>
        <v>1.8677904632153839</v>
      </c>
      <c r="K9" t="s">
        <v>183</v>
      </c>
      <c r="L9" t="s">
        <v>176</v>
      </c>
    </row>
    <row r="10" spans="2:13" x14ac:dyDescent="0.3">
      <c r="B10" s="45" t="str">
        <f>'White''s Test'!B11</f>
        <v>2000</v>
      </c>
      <c r="C10" s="46">
        <f>'White''s Test'!C11</f>
        <v>1.5861539414809345</v>
      </c>
      <c r="D10" s="46">
        <f t="shared" si="1"/>
        <v>6.9235858102652967</v>
      </c>
      <c r="E10" s="87">
        <f t="shared" si="2"/>
        <v>47.936040472106967</v>
      </c>
      <c r="F10" s="46">
        <f t="shared" si="0"/>
        <v>2.5158843260755037</v>
      </c>
      <c r="K10" t="s">
        <v>177</v>
      </c>
      <c r="L10" t="s">
        <v>178</v>
      </c>
    </row>
    <row r="11" spans="2:13" x14ac:dyDescent="0.3">
      <c r="B11" s="42" t="str">
        <f>'White''s Test'!B12</f>
        <v>2001</v>
      </c>
      <c r="C11" s="43">
        <f>'White''s Test'!C12</f>
        <v>-6.7239401352169796</v>
      </c>
      <c r="D11" s="43">
        <f t="shared" si="1"/>
        <v>-8.310094076697915</v>
      </c>
      <c r="E11" s="96">
        <f t="shared" si="2"/>
        <v>69.057663563569776</v>
      </c>
      <c r="F11" s="43">
        <f t="shared" si="0"/>
        <v>45.211370941981734</v>
      </c>
      <c r="K11" t="s">
        <v>179</v>
      </c>
      <c r="L11" t="s">
        <v>180</v>
      </c>
    </row>
    <row r="12" spans="2:13" x14ac:dyDescent="0.3">
      <c r="B12" s="45" t="str">
        <f>'White''s Test'!B13</f>
        <v>2002</v>
      </c>
      <c r="C12" s="46">
        <f>'White''s Test'!C13</f>
        <v>5.9789096992516058</v>
      </c>
      <c r="D12" s="46">
        <f t="shared" si="1"/>
        <v>12.702849834468585</v>
      </c>
      <c r="E12" s="87">
        <f t="shared" si="2"/>
        <v>161.36239391705857</v>
      </c>
      <c r="F12" s="46">
        <f t="shared" si="0"/>
        <v>35.747361191804927</v>
      </c>
      <c r="H12" s="78" t="s">
        <v>184</v>
      </c>
    </row>
    <row r="13" spans="2:13" x14ac:dyDescent="0.3">
      <c r="B13" s="42" t="str">
        <f>'White''s Test'!B14</f>
        <v>2003</v>
      </c>
      <c r="C13" s="43">
        <f>'White''s Test'!C14</f>
        <v>3.5204791562896709</v>
      </c>
      <c r="D13" s="43">
        <f t="shared" si="1"/>
        <v>-2.4584305429619349</v>
      </c>
      <c r="E13" s="96">
        <f t="shared" si="2"/>
        <v>6.0438807345681136</v>
      </c>
      <c r="F13" s="43">
        <f t="shared" si="0"/>
        <v>12.393773489870034</v>
      </c>
      <c r="H13" s="78" t="s">
        <v>185</v>
      </c>
    </row>
    <row r="14" spans="2:13" x14ac:dyDescent="0.3">
      <c r="B14" s="45" t="str">
        <f>'White''s Test'!B15</f>
        <v>2004</v>
      </c>
      <c r="C14" s="46">
        <f>'White''s Test'!C15</f>
        <v>6.1350087212325075</v>
      </c>
      <c r="D14" s="46">
        <f t="shared" si="1"/>
        <v>2.6145295649428366</v>
      </c>
      <c r="E14" s="87">
        <f t="shared" si="2"/>
        <v>6.8357648459601785</v>
      </c>
      <c r="F14" s="46">
        <f t="shared" si="0"/>
        <v>37.638332009598926</v>
      </c>
      <c r="H14" s="78" t="s">
        <v>186</v>
      </c>
    </row>
    <row r="15" spans="2:13" x14ac:dyDescent="0.3">
      <c r="B15" s="42" t="str">
        <f>'White''s Test'!B16</f>
        <v>2005</v>
      </c>
      <c r="C15" s="43">
        <f>'White''s Test'!C16</f>
        <v>3.9667425435690227</v>
      </c>
      <c r="D15" s="43">
        <f t="shared" si="1"/>
        <v>-2.1682661776634848</v>
      </c>
      <c r="E15" s="96">
        <f t="shared" si="2"/>
        <v>4.7013782171994185</v>
      </c>
      <c r="F15" s="43">
        <f t="shared" si="0"/>
        <v>15.735046406960439</v>
      </c>
      <c r="H15" s="78"/>
    </row>
    <row r="16" spans="2:13" x14ac:dyDescent="0.3">
      <c r="B16" s="45" t="str">
        <f>'White''s Test'!B17</f>
        <v>2006</v>
      </c>
      <c r="C16" s="46">
        <f>'White''s Test'!C17</f>
        <v>0.35668045965770467</v>
      </c>
      <c r="D16" s="46">
        <f t="shared" si="1"/>
        <v>-3.610062083911318</v>
      </c>
      <c r="E16" s="87">
        <f t="shared" si="2"/>
        <v>13.032548249694129</v>
      </c>
      <c r="F16" s="46">
        <f t="shared" si="0"/>
        <v>0.1272209503016315</v>
      </c>
      <c r="H16" t="s">
        <v>187</v>
      </c>
    </row>
    <row r="17" spans="2:8" x14ac:dyDescent="0.3">
      <c r="B17" s="42" t="str">
        <f>'White''s Test'!B18</f>
        <v>2007</v>
      </c>
      <c r="C17" s="43">
        <f>'White''s Test'!C18</f>
        <v>-1.3093355566187199</v>
      </c>
      <c r="D17" s="43">
        <f t="shared" si="1"/>
        <v>-1.6660160162764246</v>
      </c>
      <c r="E17" s="96">
        <f t="shared" si="2"/>
        <v>2.7756093664895678</v>
      </c>
      <c r="F17" s="43">
        <f t="shared" si="0"/>
        <v>1.714359599826053</v>
      </c>
      <c r="H17" t="s">
        <v>202</v>
      </c>
    </row>
    <row r="18" spans="2:8" x14ac:dyDescent="0.3">
      <c r="B18" s="45" t="str">
        <f>'White''s Test'!B19</f>
        <v>2008</v>
      </c>
      <c r="C18" s="46">
        <f>'White''s Test'!C19</f>
        <v>-4.6990065422604239</v>
      </c>
      <c r="D18" s="46">
        <f t="shared" si="1"/>
        <v>-3.389670985641704</v>
      </c>
      <c r="E18" s="87">
        <f t="shared" si="2"/>
        <v>11.489869390901202</v>
      </c>
      <c r="F18" s="46">
        <f t="shared" si="0"/>
        <v>22.080662484206265</v>
      </c>
      <c r="H18" t="s">
        <v>223</v>
      </c>
    </row>
    <row r="19" spans="2:8" x14ac:dyDescent="0.3">
      <c r="B19" s="42" t="str">
        <f>'White''s Test'!B20</f>
        <v>2009</v>
      </c>
      <c r="C19" s="43">
        <f>'White''s Test'!C20</f>
        <v>-4.5015100766063121</v>
      </c>
      <c r="D19" s="43">
        <f t="shared" si="1"/>
        <v>0.19749646565411183</v>
      </c>
      <c r="E19" s="96">
        <f t="shared" si="2"/>
        <v>3.9004853945865774E-2</v>
      </c>
      <c r="F19" s="43">
        <f t="shared" si="0"/>
        <v>20.263592969788167</v>
      </c>
      <c r="H19" t="s">
        <v>224</v>
      </c>
    </row>
    <row r="20" spans="2:8" x14ac:dyDescent="0.3">
      <c r="B20" s="45" t="str">
        <f>'White''s Test'!B21</f>
        <v>2010</v>
      </c>
      <c r="C20" s="46">
        <f>'White''s Test'!C21</f>
        <v>4.4355323994100289</v>
      </c>
      <c r="D20" s="46">
        <f t="shared" si="1"/>
        <v>8.9370424760163409</v>
      </c>
      <c r="E20" s="87">
        <f t="shared" si="2"/>
        <v>79.870728218120291</v>
      </c>
      <c r="F20" s="46">
        <f t="shared" si="0"/>
        <v>19.673947666216087</v>
      </c>
    </row>
    <row r="21" spans="2:8" x14ac:dyDescent="0.3">
      <c r="B21" s="42" t="str">
        <f>'White''s Test'!B22</f>
        <v>2011</v>
      </c>
      <c r="C21" s="43">
        <f>'White''s Test'!C22</f>
        <v>2.7544237508438041</v>
      </c>
      <c r="D21" s="43">
        <f t="shared" si="1"/>
        <v>-1.6811086485662248</v>
      </c>
      <c r="E21" s="96">
        <f t="shared" si="2"/>
        <v>2.8261262882841587</v>
      </c>
      <c r="F21" s="43">
        <f t="shared" si="0"/>
        <v>7.5868501992124502</v>
      </c>
      <c r="H21" s="78" t="s">
        <v>199</v>
      </c>
    </row>
    <row r="22" spans="2:8" x14ac:dyDescent="0.3">
      <c r="B22" s="45" t="str">
        <f>'White''s Test'!B23</f>
        <v>2012</v>
      </c>
      <c r="C22" s="46">
        <f>'White''s Test'!C23</f>
        <v>-2.770735272361545</v>
      </c>
      <c r="D22" s="46">
        <f t="shared" si="1"/>
        <v>-5.5251590232053491</v>
      </c>
      <c r="E22" s="87">
        <f t="shared" si="2"/>
        <v>30.527382231707488</v>
      </c>
      <c r="F22" s="46">
        <f t="shared" si="0"/>
        <v>7.6769739495084055</v>
      </c>
      <c r="H22" s="78" t="s">
        <v>200</v>
      </c>
    </row>
    <row r="23" spans="2:8" x14ac:dyDescent="0.3">
      <c r="B23" s="42" t="str">
        <f>'White''s Test'!B24</f>
        <v>2013</v>
      </c>
      <c r="C23" s="43">
        <f>'White''s Test'!C24</f>
        <v>0.50968600432111622</v>
      </c>
      <c r="D23" s="43">
        <f t="shared" si="1"/>
        <v>3.2804212766826613</v>
      </c>
      <c r="E23" s="96">
        <f t="shared" si="2"/>
        <v>10.761163752512301</v>
      </c>
      <c r="F23" s="43">
        <f t="shared" si="0"/>
        <v>0.25977982300082492</v>
      </c>
      <c r="H23" s="78" t="s">
        <v>201</v>
      </c>
    </row>
    <row r="24" spans="2:8" x14ac:dyDescent="0.3">
      <c r="B24" s="45" t="str">
        <f>'White''s Test'!B25</f>
        <v>2014</v>
      </c>
      <c r="C24" s="46">
        <f>'White''s Test'!C25</f>
        <v>-2.5522944922794437</v>
      </c>
      <c r="D24" s="46">
        <f t="shared" si="1"/>
        <v>-3.0619804966005599</v>
      </c>
      <c r="E24" s="87">
        <f t="shared" si="2"/>
        <v>9.3757245615622118</v>
      </c>
      <c r="F24" s="46">
        <f t="shared" si="0"/>
        <v>6.5142071753199833</v>
      </c>
    </row>
    <row r="25" spans="2:8" x14ac:dyDescent="0.3">
      <c r="B25" s="42" t="str">
        <f>'White''s Test'!B26</f>
        <v>2015</v>
      </c>
      <c r="C25" s="43">
        <f>'White''s Test'!C26</f>
        <v>-0.89139638499531237</v>
      </c>
      <c r="D25" s="43">
        <f t="shared" si="1"/>
        <v>1.6608981072841313</v>
      </c>
      <c r="E25" s="96">
        <f t="shared" si="2"/>
        <v>2.75858252278001</v>
      </c>
      <c r="F25" s="43">
        <f t="shared" si="0"/>
        <v>0.7945875151827112</v>
      </c>
      <c r="H25" s="78" t="s">
        <v>196</v>
      </c>
    </row>
    <row r="26" spans="2:8" x14ac:dyDescent="0.3">
      <c r="B26" s="45" t="str">
        <f>'White''s Test'!B27</f>
        <v>2016</v>
      </c>
      <c r="C26" s="46">
        <f>'White''s Test'!C27</f>
        <v>-2.5803789829608483</v>
      </c>
      <c r="D26" s="46">
        <f t="shared" si="1"/>
        <v>-1.688982597965536</v>
      </c>
      <c r="E26" s="87">
        <f t="shared" si="2"/>
        <v>2.8526622162304114</v>
      </c>
      <c r="F26" s="46">
        <f t="shared" si="0"/>
        <v>6.6583556957060619</v>
      </c>
      <c r="H26" t="s">
        <v>198</v>
      </c>
    </row>
    <row r="27" spans="2:8" x14ac:dyDescent="0.3">
      <c r="B27" s="42" t="str">
        <f>'White''s Test'!B28</f>
        <v>2017</v>
      </c>
      <c r="C27" s="43">
        <f>'White''s Test'!C28</f>
        <v>0.79253955573114609</v>
      </c>
      <c r="D27" s="43">
        <f t="shared" si="1"/>
        <v>3.3729185386919944</v>
      </c>
      <c r="E27" s="96">
        <f t="shared" si="2"/>
        <v>11.376579468652139</v>
      </c>
      <c r="F27" s="43">
        <f t="shared" si="0"/>
        <v>0.62811894739852248</v>
      </c>
      <c r="H27" s="78" t="s">
        <v>197</v>
      </c>
    </row>
    <row r="28" spans="2:8" x14ac:dyDescent="0.3">
      <c r="B28" s="42" t="str">
        <f>'White''s Test'!B29</f>
        <v>2018</v>
      </c>
      <c r="C28" s="43">
        <f>'White''s Test'!C29</f>
        <v>-2.5414918404042677</v>
      </c>
      <c r="D28" s="43">
        <f t="shared" si="1"/>
        <v>-3.3340313961354138</v>
      </c>
      <c r="E28" s="96">
        <f t="shared" si="2"/>
        <v>11.115765350416657</v>
      </c>
      <c r="F28" s="43">
        <f t="shared" si="0"/>
        <v>6.4591807748414718</v>
      </c>
    </row>
    <row r="29" spans="2:8" x14ac:dyDescent="0.3">
      <c r="B29" s="45" t="str">
        <f>'White''s Test'!B30</f>
        <v>2019</v>
      </c>
      <c r="C29" s="46">
        <f>'White''s Test'!C30</f>
        <v>0.14440685877376325</v>
      </c>
      <c r="D29" s="46">
        <f t="shared" si="1"/>
        <v>2.6858986991780309</v>
      </c>
      <c r="E29" s="87">
        <f t="shared" si="2"/>
        <v>7.2140518222462386</v>
      </c>
      <c r="F29" s="46">
        <f t="shared" si="0"/>
        <v>2.0853340860905602E-2</v>
      </c>
    </row>
    <row r="30" spans="2:8" x14ac:dyDescent="0.3">
      <c r="B30" s="42" t="str">
        <f>'White''s Test'!B31</f>
        <v>2020</v>
      </c>
      <c r="C30" s="43">
        <f>'White''s Test'!C31</f>
        <v>-3.2378896699267923</v>
      </c>
      <c r="D30" s="43">
        <f t="shared" si="1"/>
        <v>-3.3822965287005555</v>
      </c>
      <c r="E30" s="96">
        <f t="shared" si="2"/>
        <v>11.439929808059828</v>
      </c>
      <c r="F30" s="43">
        <f t="shared" si="0"/>
        <v>10.483929514618632</v>
      </c>
    </row>
    <row r="31" spans="2:8" x14ac:dyDescent="0.3">
      <c r="B31" s="45" t="str">
        <f>'White''s Test'!B32</f>
        <v>2021</v>
      </c>
      <c r="C31" s="46">
        <f>'White''s Test'!C32</f>
        <v>5.7679123212217114</v>
      </c>
      <c r="D31" s="46">
        <f t="shared" si="1"/>
        <v>9.0058019911485037</v>
      </c>
      <c r="E31" s="87">
        <f t="shared" si="2"/>
        <v>81.104469503774354</v>
      </c>
      <c r="F31" s="46">
        <f t="shared" si="0"/>
        <v>33.26881254530123</v>
      </c>
    </row>
    <row r="32" spans="2:8" x14ac:dyDescent="0.3">
      <c r="B32" s="42" t="str">
        <f>'White''s Test'!B33</f>
        <v>2022</v>
      </c>
      <c r="C32" s="43">
        <f>'White''s Test'!C33</f>
        <v>-1.0424903512474764</v>
      </c>
      <c r="D32" s="43">
        <f t="shared" si="1"/>
        <v>-6.8104026724691877</v>
      </c>
      <c r="E32" s="96">
        <f t="shared" si="2"/>
        <v>46.381584561175451</v>
      </c>
      <c r="F32" s="43">
        <f t="shared" si="0"/>
        <v>1.0867861324440866</v>
      </c>
    </row>
    <row r="33" spans="2:6" x14ac:dyDescent="0.3">
      <c r="B33" s="45" t="str">
        <f>'White''s Test'!B34</f>
        <v>2023</v>
      </c>
      <c r="C33" s="46">
        <f>'White''s Test'!C34</f>
        <v>-1.9553358794929405</v>
      </c>
      <c r="D33" s="46">
        <f t="shared" si="1"/>
        <v>-0.91284552824546417</v>
      </c>
      <c r="E33" s="87">
        <f t="shared" si="2"/>
        <v>0.83328695843774048</v>
      </c>
      <c r="F33" s="46">
        <f t="shared" si="0"/>
        <v>3.823338401632431</v>
      </c>
    </row>
    <row r="34" spans="2:6" x14ac:dyDescent="0.3">
      <c r="B34" s="42" t="str">
        <f>'White''s Test'!B35</f>
        <v>2024</v>
      </c>
      <c r="C34" s="43">
        <f>'White''s Test'!C35</f>
        <v>-2.2959800355641811</v>
      </c>
      <c r="D34" s="43">
        <f t="shared" si="1"/>
        <v>-0.34064415607124054</v>
      </c>
      <c r="E34" s="96">
        <f t="shared" si="2"/>
        <v>0.11603844106548769</v>
      </c>
      <c r="F34" s="43">
        <f t="shared" si="0"/>
        <v>5.2715243237092979</v>
      </c>
    </row>
    <row r="35" spans="2:6" x14ac:dyDescent="0.3">
      <c r="C35" s="83"/>
    </row>
    <row r="36" spans="2:6" x14ac:dyDescent="0.3">
      <c r="C36" s="83"/>
    </row>
    <row r="37" spans="2:6" x14ac:dyDescent="0.3">
      <c r="C37" s="83"/>
    </row>
    <row r="38" spans="2:6" x14ac:dyDescent="0.3">
      <c r="C38" s="83"/>
    </row>
    <row r="39" spans="2:6" x14ac:dyDescent="0.3">
      <c r="C39" s="83"/>
    </row>
    <row r="40" spans="2:6" x14ac:dyDescent="0.3">
      <c r="C40" s="83"/>
    </row>
  </sheetData>
  <mergeCells count="4">
    <mergeCell ref="B1:M1"/>
    <mergeCell ref="B2:M2"/>
    <mergeCell ref="B3:M3"/>
    <mergeCell ref="H4:M4"/>
  </mergeCells>
  <pageMargins left="0.25" right="0.25" top="0.75" bottom="0.75" header="0.3" footer="0.3"/>
  <pageSetup paperSize="138" scale="6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3176-3150-4CF2-8D69-26EC8F619F51}">
  <sheetPr>
    <tabColor theme="9" tint="-0.249977111117893"/>
    <pageSetUpPr fitToPage="1"/>
  </sheetPr>
  <dimension ref="B1:O20"/>
  <sheetViews>
    <sheetView showGridLines="0" zoomScale="92" zoomScaleNormal="119" workbookViewId="0"/>
  </sheetViews>
  <sheetFormatPr defaultRowHeight="15" x14ac:dyDescent="0.3"/>
  <sheetData>
    <row r="1" spans="2:15" ht="48" customHeight="1" x14ac:dyDescent="0.3">
      <c r="B1" s="110" t="s">
        <v>140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</row>
    <row r="2" spans="2:15" ht="16.5" x14ac:dyDescent="0.3">
      <c r="B2" s="106" t="s">
        <v>221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4" spans="2:15" x14ac:dyDescent="0.3">
      <c r="B4" s="115" t="s">
        <v>222</v>
      </c>
      <c r="C4" s="115"/>
      <c r="D4" s="115"/>
      <c r="E4" s="115"/>
      <c r="F4" s="115"/>
      <c r="G4" s="115"/>
      <c r="H4" s="116"/>
      <c r="I4" s="115" t="s">
        <v>225</v>
      </c>
      <c r="J4" s="115"/>
      <c r="K4" s="115"/>
      <c r="L4" s="115"/>
      <c r="M4" s="115"/>
      <c r="N4" s="115"/>
      <c r="O4" s="115"/>
    </row>
    <row r="20" spans="2:15" x14ac:dyDescent="0.3">
      <c r="B20" s="115" t="s">
        <v>203</v>
      </c>
      <c r="C20" s="115"/>
      <c r="D20" s="115"/>
      <c r="E20" s="115"/>
      <c r="F20" s="115"/>
      <c r="G20" s="115"/>
      <c r="H20" s="116"/>
      <c r="I20" s="115" t="s">
        <v>204</v>
      </c>
      <c r="J20" s="115"/>
      <c r="K20" s="115"/>
      <c r="L20" s="115"/>
      <c r="M20" s="115"/>
      <c r="N20" s="115"/>
      <c r="O20" s="115"/>
    </row>
  </sheetData>
  <mergeCells count="6">
    <mergeCell ref="B1:O1"/>
    <mergeCell ref="B2:O2"/>
    <mergeCell ref="B20:H20"/>
    <mergeCell ref="I20:O20"/>
    <mergeCell ref="B4:H4"/>
    <mergeCell ref="I4:O4"/>
  </mergeCells>
  <pageMargins left="0.25" right="0.25" top="0.75" bottom="0.75" header="0.3" footer="0.3"/>
  <pageSetup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Raw Data</vt:lpstr>
      <vt:lpstr>Clean Data</vt:lpstr>
      <vt:lpstr>Descriptive Statistics</vt:lpstr>
      <vt:lpstr>Correlation Matrix</vt:lpstr>
      <vt:lpstr>Regression Output</vt:lpstr>
      <vt:lpstr>White's Test</vt:lpstr>
      <vt:lpstr>Durbin-Watson Test</vt:lpstr>
      <vt:lpstr>Charts &amp;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ABDULMALIK AKRAM KAMAL SABRI</dc:creator>
  <cp:lastModifiedBy>ABDULMALIK AKRAM KAMAL SABRI</cp:lastModifiedBy>
  <cp:lastPrinted>2026-05-15T16:02:49Z</cp:lastPrinted>
  <dcterms:created xsi:type="dcterms:W3CDTF">2026-05-14T16:18:03Z</dcterms:created>
  <dcterms:modified xsi:type="dcterms:W3CDTF">2026-05-17T12:58:42Z</dcterms:modified>
</cp:coreProperties>
</file>