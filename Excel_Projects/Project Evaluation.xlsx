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0C3EA39-8924-48B6-B9D3-1A80F70880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ver" sheetId="3" r:id="rId1"/>
    <sheet name="Model" sheetId="1" r:id="rId2"/>
    <sheet name="Sheet2" sheetId="2" state="hidden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9" i="1" l="1"/>
  <c r="C48" i="1" l="1"/>
  <c r="C47" i="1" l="1"/>
  <c r="C46" i="1"/>
  <c r="C45" i="1"/>
  <c r="D44" i="1"/>
  <c r="E44" i="1" s="1"/>
  <c r="F44" i="1" s="1"/>
  <c r="G44" i="1" s="1"/>
  <c r="H44" i="1" s="1"/>
  <c r="C41" i="1"/>
  <c r="C40" i="1"/>
  <c r="D37" i="1"/>
  <c r="E37" i="1" s="1"/>
  <c r="F37" i="1" s="1"/>
  <c r="G37" i="1" s="1"/>
  <c r="H37" i="1" s="1"/>
  <c r="D4" i="1"/>
  <c r="D17" i="1"/>
  <c r="H11" i="1"/>
  <c r="G11" i="1"/>
  <c r="F11" i="1"/>
  <c r="E11" i="1"/>
  <c r="D11" i="1"/>
  <c r="B19" i="1" s="1"/>
  <c r="D5" i="1"/>
  <c r="E5" i="1"/>
  <c r="F5" i="1"/>
  <c r="G5" i="1"/>
  <c r="H5" i="1"/>
  <c r="D6" i="1"/>
  <c r="D7" i="1"/>
  <c r="E7" i="1"/>
  <c r="F7" i="1"/>
  <c r="G7" i="1"/>
  <c r="H7" i="1"/>
  <c r="E4" i="1"/>
  <c r="F4" i="1"/>
  <c r="G4" i="1"/>
  <c r="H4" i="1"/>
  <c r="D3" i="1"/>
  <c r="E24" i="2"/>
  <c r="F24" i="2"/>
  <c r="G24" i="2" s="1"/>
  <c r="H24" i="2" s="1"/>
  <c r="F23" i="2"/>
  <c r="G23" i="2" s="1"/>
  <c r="H23" i="2" s="1"/>
  <c r="E23" i="2"/>
  <c r="F13" i="2"/>
  <c r="G13" i="2" s="1"/>
  <c r="H13" i="2" s="1"/>
  <c r="E13" i="2"/>
  <c r="E14" i="2"/>
  <c r="E6" i="1" s="1"/>
  <c r="C30" i="1"/>
  <c r="D29" i="1"/>
  <c r="E29" i="1" s="1"/>
  <c r="F29" i="1" s="1"/>
  <c r="G29" i="1" s="1"/>
  <c r="H29" i="1" s="1"/>
  <c r="D23" i="1"/>
  <c r="E23" i="1" s="1"/>
  <c r="F23" i="1" s="1"/>
  <c r="G23" i="1" s="1"/>
  <c r="H23" i="1" s="1"/>
  <c r="E17" i="1"/>
  <c r="E25" i="1" s="1"/>
  <c r="F17" i="1"/>
  <c r="F25" i="1" s="1"/>
  <c r="G17" i="1"/>
  <c r="G25" i="1" s="1"/>
  <c r="H17" i="1"/>
  <c r="H25" i="1" s="1"/>
  <c r="D14" i="1"/>
  <c r="E14" i="1" s="1"/>
  <c r="F14" i="1" s="1"/>
  <c r="G14" i="1" s="1"/>
  <c r="H14" i="1" s="1"/>
  <c r="F14" i="2" l="1"/>
  <c r="J3" i="1"/>
  <c r="J5" i="1" s="1"/>
  <c r="E3" i="1"/>
  <c r="F3" i="1" s="1"/>
  <c r="G3" i="1" s="1"/>
  <c r="H3" i="1" s="1"/>
  <c r="D15" i="1"/>
  <c r="D8" i="1" s="1"/>
  <c r="D30" i="1" s="1"/>
  <c r="D16" i="1"/>
  <c r="E15" i="1"/>
  <c r="E8" i="1" s="1"/>
  <c r="E30" i="1" s="1"/>
  <c r="C31" i="1"/>
  <c r="C34" i="1" s="1"/>
  <c r="D25" i="1"/>
  <c r="E16" i="1"/>
  <c r="G14" i="2" l="1"/>
  <c r="F6" i="1"/>
  <c r="F16" i="1" s="1"/>
  <c r="D18" i="1"/>
  <c r="D19" i="1" s="1"/>
  <c r="D20" i="1" s="1"/>
  <c r="D24" i="1" s="1"/>
  <c r="D26" i="1" s="1"/>
  <c r="D45" i="1" s="1"/>
  <c r="D32" i="1"/>
  <c r="D34" i="1" s="1"/>
  <c r="D40" i="1" s="1"/>
  <c r="D41" i="1" s="1"/>
  <c r="D46" i="1" s="1"/>
  <c r="E32" i="1"/>
  <c r="E34" i="1" s="1"/>
  <c r="E40" i="1" s="1"/>
  <c r="E41" i="1" s="1"/>
  <c r="E46" i="1" s="1"/>
  <c r="E18" i="1"/>
  <c r="E19" i="1" s="1"/>
  <c r="E20" i="1" s="1"/>
  <c r="E24" i="1" s="1"/>
  <c r="E26" i="1" s="1"/>
  <c r="E45" i="1" s="1"/>
  <c r="F15" i="1"/>
  <c r="H14" i="2" l="1"/>
  <c r="H6" i="1" s="1"/>
  <c r="H16" i="1" s="1"/>
  <c r="G6" i="1"/>
  <c r="G16" i="1" s="1"/>
  <c r="E47" i="1"/>
  <c r="D47" i="1"/>
  <c r="F18" i="1"/>
  <c r="F19" i="1" s="1"/>
  <c r="F20" i="1" s="1"/>
  <c r="F24" i="1" s="1"/>
  <c r="F26" i="1" s="1"/>
  <c r="F45" i="1" s="1"/>
  <c r="F8" i="1"/>
  <c r="F30" i="1" s="1"/>
  <c r="H15" i="1"/>
  <c r="G15" i="1"/>
  <c r="D48" i="1" l="1"/>
  <c r="D49" i="1" s="1"/>
  <c r="F32" i="1"/>
  <c r="F34" i="1" s="1"/>
  <c r="F40" i="1" s="1"/>
  <c r="F41" i="1" s="1"/>
  <c r="F46" i="1" s="1"/>
  <c r="F47" i="1" s="1"/>
  <c r="G18" i="1"/>
  <c r="G19" i="1" s="1"/>
  <c r="G8" i="1"/>
  <c r="G30" i="1" s="1"/>
  <c r="G32" i="1" s="1"/>
  <c r="H18" i="1"/>
  <c r="H19" i="1" s="1"/>
  <c r="H8" i="1"/>
  <c r="H30" i="1" s="1"/>
  <c r="H33" i="1" s="1"/>
  <c r="E48" i="1" l="1"/>
  <c r="F48" i="1" s="1"/>
  <c r="F49" i="1" s="1"/>
  <c r="E49" i="1"/>
  <c r="H32" i="1"/>
  <c r="H34" i="1" s="1"/>
  <c r="H40" i="1" s="1"/>
  <c r="H41" i="1" s="1"/>
  <c r="H46" i="1" s="1"/>
  <c r="H20" i="1"/>
  <c r="H24" i="1" s="1"/>
  <c r="H26" i="1" s="1"/>
  <c r="H45" i="1" s="1"/>
  <c r="G34" i="1"/>
  <c r="G40" i="1" s="1"/>
  <c r="G41" i="1" s="1"/>
  <c r="G46" i="1" s="1"/>
  <c r="G20" i="1"/>
  <c r="G24" i="1" s="1"/>
  <c r="G26" i="1" s="1"/>
  <c r="G45" i="1" s="1"/>
  <c r="G47" i="1" l="1"/>
  <c r="H47" i="1"/>
  <c r="C51" i="1" l="1"/>
  <c r="C50" i="1"/>
  <c r="C52" i="1" s="1"/>
  <c r="G48" i="1"/>
  <c r="H48" i="1" l="1"/>
  <c r="G49" i="1"/>
  <c r="C53" i="1" l="1"/>
  <c r="H49" i="1"/>
</calcChain>
</file>

<file path=xl/sharedStrings.xml><?xml version="1.0" encoding="utf-8"?>
<sst xmlns="http://schemas.openxmlformats.org/spreadsheetml/2006/main" count="96" uniqueCount="59">
  <si>
    <t>sales revenues</t>
  </si>
  <si>
    <t>operating costs</t>
  </si>
  <si>
    <t>depreciation</t>
  </si>
  <si>
    <t>income before taxes</t>
  </si>
  <si>
    <t>net income</t>
  </si>
  <si>
    <t>production</t>
  </si>
  <si>
    <t>price</t>
  </si>
  <si>
    <t>production cost</t>
  </si>
  <si>
    <t>inflation rate</t>
  </si>
  <si>
    <t>working capital</t>
  </si>
  <si>
    <t>deprecation</t>
  </si>
  <si>
    <t>depreciation (%)</t>
  </si>
  <si>
    <t xml:space="preserve">depreciation </t>
  </si>
  <si>
    <t>tax (%)</t>
  </si>
  <si>
    <t>OCF</t>
  </si>
  <si>
    <t>salvage value</t>
  </si>
  <si>
    <t>NWC</t>
  </si>
  <si>
    <t>change in NWC</t>
  </si>
  <si>
    <t>NWC recovery</t>
  </si>
  <si>
    <t>total change in NWC</t>
  </si>
  <si>
    <t>machine sale value</t>
  </si>
  <si>
    <t>value after tax</t>
  </si>
  <si>
    <t>Income Statement</t>
  </si>
  <si>
    <t>Operating Cash Flow</t>
  </si>
  <si>
    <t>Net Working Capital</t>
  </si>
  <si>
    <t>Assumptions &amp; Drivers</t>
  </si>
  <si>
    <t xml:space="preserve">base case </t>
  </si>
  <si>
    <t>best case</t>
  </si>
  <si>
    <t>worst case</t>
  </si>
  <si>
    <t>base case</t>
  </si>
  <si>
    <t>Capital Spending</t>
  </si>
  <si>
    <t>Initial Investment</t>
  </si>
  <si>
    <t>Total Capital Spending</t>
  </si>
  <si>
    <t>NPV</t>
  </si>
  <si>
    <t>Total Cash Flow</t>
  </si>
  <si>
    <t xml:space="preserve"> </t>
  </si>
  <si>
    <t xml:space="preserve">  </t>
  </si>
  <si>
    <t xml:space="preserve"> Table of Contents</t>
  </si>
  <si>
    <t xml:space="preserve"> Author And Course Info</t>
  </si>
  <si>
    <t>Student Name: Abdalmalik Sabri</t>
  </si>
  <si>
    <t>Student Number: 0225555</t>
  </si>
  <si>
    <t>Email: aboodsabri2004@gmail.com</t>
  </si>
  <si>
    <t>Color</t>
  </si>
  <si>
    <t>Meaning</t>
  </si>
  <si>
    <t>Blue</t>
  </si>
  <si>
    <t>Hard-coded inputs</t>
  </si>
  <si>
    <t>Black</t>
  </si>
  <si>
    <t>Calculations / Formulas</t>
  </si>
  <si>
    <t xml:space="preserve">of a Fictional Project </t>
  </si>
  <si>
    <t>Cover</t>
  </si>
  <si>
    <t>Profitability Index</t>
  </si>
  <si>
    <t>Payback Period</t>
  </si>
  <si>
    <t>IRR</t>
  </si>
  <si>
    <t xml:space="preserve"> Project Evaluation</t>
  </si>
  <si>
    <t>This project evaluates the NPV,IRR,PI,PBP</t>
  </si>
  <si>
    <t>initial NWC</t>
  </si>
  <si>
    <t>Opportunity Cost</t>
  </si>
  <si>
    <t>Cumulative Cash Flow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</si>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</sst>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Year &quot;0"/>
    <numFmt numFmtId="165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9" tint="-0.249977111117893"/>
      <name val="Open Sans"/>
      <family val="2"/>
    </font>
    <font>
      <b/>
      <sz val="14"/>
      <color theme="1"/>
      <name val="Open Sans"/>
      <family val="2"/>
    </font>
    <font>
      <u/>
      <sz val="12"/>
      <color theme="3" tint="0.249977111117893"/>
      <name val="Open Sans"/>
      <family val="2"/>
    </font>
    <font>
      <sz val="12"/>
      <color theme="1"/>
      <name val="Open Sans"/>
      <family val="2"/>
    </font>
    <font>
      <sz val="11"/>
      <color theme="1"/>
      <name val="Open Sans"/>
      <family val="2"/>
    </font>
    <font>
      <sz val="12"/>
      <color theme="3" tint="0.499984740745262"/>
      <name val="Open Sans"/>
      <family val="2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10" fontId="0" fillId="0" borderId="0" xfId="0" applyNumberFormat="1"/>
    <xf numFmtId="44" fontId="0" fillId="0" borderId="0" xfId="1" applyFon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164" fontId="2" fillId="0" borderId="0" xfId="0" applyNumberFormat="1" applyFont="1"/>
    <xf numFmtId="3" fontId="2" fillId="0" borderId="2" xfId="0" applyNumberFormat="1" applyFont="1" applyBorder="1"/>
    <xf numFmtId="0" fontId="2" fillId="0" borderId="2" xfId="0" applyFont="1" applyBorder="1"/>
    <xf numFmtId="0" fontId="2" fillId="0" borderId="0" xfId="0" applyFont="1"/>
    <xf numFmtId="165" fontId="2" fillId="2" borderId="0" xfId="0" applyNumberFormat="1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4" fillId="3" borderId="0" xfId="0" applyFont="1" applyFill="1"/>
    <xf numFmtId="0" fontId="0" fillId="0" borderId="6" xfId="0" applyBorder="1"/>
    <xf numFmtId="0" fontId="0" fillId="0" borderId="7" xfId="0" applyBorder="1"/>
    <xf numFmtId="0" fontId="5" fillId="4" borderId="6" xfId="0" applyFont="1" applyFill="1" applyBorder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9" xfId="0" applyBorder="1"/>
    <xf numFmtId="0" fontId="8" fillId="0" borderId="0" xfId="2" applyFont="1" applyBorder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 vertical="top"/>
    </xf>
    <xf numFmtId="0" fontId="10" fillId="5" borderId="0" xfId="0" applyFont="1" applyFill="1"/>
    <xf numFmtId="0" fontId="0" fillId="5" borderId="0" xfId="0" applyFill="1"/>
    <xf numFmtId="0" fontId="9" fillId="0" borderId="10" xfId="0" applyFont="1" applyBorder="1"/>
    <xf numFmtId="0" fontId="9" fillId="0" borderId="11" xfId="0" applyFont="1" applyBorder="1" applyAlignment="1">
      <alignment horizontal="left" vertical="top"/>
    </xf>
    <xf numFmtId="0" fontId="11" fillId="0" borderId="12" xfId="0" applyFont="1" applyBorder="1"/>
    <xf numFmtId="0" fontId="11" fillId="0" borderId="10" xfId="0" applyFont="1" applyBorder="1" applyAlignment="1">
      <alignment horizontal="left"/>
    </xf>
    <xf numFmtId="0" fontId="9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2" fillId="0" borderId="0" xfId="0" applyFont="1"/>
    <xf numFmtId="3" fontId="12" fillId="0" borderId="0" xfId="0" applyNumberFormat="1" applyFont="1"/>
    <xf numFmtId="10" fontId="12" fillId="0" borderId="0" xfId="0" applyNumberFormat="1" applyFont="1"/>
    <xf numFmtId="164" fontId="13" fillId="0" borderId="0" xfId="0" applyNumberFormat="1" applyFont="1"/>
    <xf numFmtId="7" fontId="12" fillId="0" borderId="0" xfId="0" applyNumberFormat="1" applyFont="1" applyAlignment="1">
      <alignment horizontal="right"/>
    </xf>
    <xf numFmtId="9" fontId="12" fillId="0" borderId="0" xfId="0" applyNumberFormat="1" applyFont="1"/>
    <xf numFmtId="4" fontId="2" fillId="2" borderId="0" xfId="0" applyNumberFormat="1" applyFont="1" applyFill="1"/>
    <xf numFmtId="0" fontId="4" fillId="0" borderId="0" xfId="0" applyFont="1"/>
    <xf numFmtId="9" fontId="2" fillId="2" borderId="0" xfId="0" applyNumberFormat="1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B$3" fmlaRange="Sheet2!$J$12:$J$14" noThreeD="1" sel="1" val="0"/>
</file>

<file path=xl/ctrlProps/ctrlProp2.xml><?xml version="1.0" encoding="utf-8"?>
<formControlPr xmlns="http://schemas.microsoft.com/office/spreadsheetml/2009/9/main" objectType="Drop" dropStyle="combo" dx="22" fmlaLink="$B$3" fmlaRange="Sheet2!$J$12:$J$14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2</xdr:row>
      <xdr:rowOff>44824</xdr:rowOff>
    </xdr:from>
    <xdr:to>
      <xdr:col>2</xdr:col>
      <xdr:colOff>676276</xdr:colOff>
      <xdr:row>6</xdr:row>
      <xdr:rowOff>140074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500A2AE3-BD58-4134-BB06-007D3250E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73" y="435349"/>
          <a:ext cx="672353" cy="857250"/>
        </a:xfrm>
        <a:prstGeom prst="rect">
          <a:avLst/>
        </a:prstGeom>
      </xdr:spPr>
    </xdr:pic>
    <xdr:clientData/>
  </xdr:twoCellAnchor>
  <xdr:oneCellAnchor>
    <xdr:from>
      <xdr:col>2</xdr:col>
      <xdr:colOff>721660</xdr:colOff>
      <xdr:row>3</xdr:row>
      <xdr:rowOff>22412</xdr:rowOff>
    </xdr:from>
    <xdr:ext cx="2957413" cy="5306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4C7783-132F-4AF5-A203-8DD9E5235A70}"/>
            </a:ext>
          </a:extLst>
        </xdr:cNvPr>
        <xdr:cNvSpPr txBox="1"/>
      </xdr:nvSpPr>
      <xdr:spPr>
        <a:xfrm>
          <a:off x="1274110" y="603437"/>
          <a:ext cx="295741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>
              <a:solidFill>
                <a:schemeClr val="bg1"/>
              </a:solidFill>
            </a:rPr>
            <a:t>University</a:t>
          </a:r>
          <a:r>
            <a:rPr lang="en-US" sz="2800" baseline="0">
              <a:solidFill>
                <a:schemeClr val="bg1"/>
              </a:solidFill>
            </a:rPr>
            <a:t> of Jordan</a:t>
          </a:r>
          <a:endParaRPr lang="en-US" sz="2800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1419225</xdr:colOff>
          <xdr:row>3</xdr:row>
          <xdr:rowOff>38100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</xdr:row>
          <xdr:rowOff>190500</xdr:rowOff>
        </xdr:from>
        <xdr:to>
          <xdr:col>4</xdr:col>
          <xdr:colOff>638175</xdr:colOff>
          <xdr:row>50</xdr:row>
          <xdr:rowOff>9526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0EEB-E260-46E2-BE8F-EADAFE0E2E52}">
  <dimension ref="A1:M29"/>
  <sheetViews>
    <sheetView showGridLines="0" tabSelected="1" zoomScale="75" workbookViewId="0"/>
  </sheetViews>
  <sheetFormatPr defaultRowHeight="15" x14ac:dyDescent="0.25"/>
  <cols>
    <col min="1" max="1" width="4.42578125" customWidth="1"/>
    <col min="2" max="2" width="3.140625" customWidth="1"/>
    <col min="3" max="3" width="26.5703125" customWidth="1"/>
    <col min="11" max="11" width="18.28515625" customWidth="1"/>
    <col min="12" max="12" width="27.28515625" customWidth="1"/>
  </cols>
  <sheetData>
    <row r="1" spans="1:13" ht="15.75" thickTop="1" x14ac:dyDescent="0.2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</row>
    <row r="2" spans="1:13" x14ac:dyDescent="0.25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25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x14ac:dyDescent="0.25"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25">
      <c r="B5" s="17"/>
      <c r="C5" s="20"/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1:13" x14ac:dyDescent="0.2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9"/>
    </row>
    <row r="7" spans="1:13" x14ac:dyDescent="0.25"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9"/>
    </row>
    <row r="8" spans="1:13" x14ac:dyDescent="0.25"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</row>
    <row r="9" spans="1:13" x14ac:dyDescent="0.25">
      <c r="A9" t="s">
        <v>36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x14ac:dyDescent="0.25">
      <c r="B10" s="21"/>
      <c r="M10" s="22"/>
    </row>
    <row r="11" spans="1:13" ht="30" x14ac:dyDescent="0.25">
      <c r="B11" s="23"/>
      <c r="C11" s="24" t="s">
        <v>53</v>
      </c>
      <c r="M11" s="22"/>
    </row>
    <row r="12" spans="1:13" x14ac:dyDescent="0.25">
      <c r="B12" s="21"/>
      <c r="M12" s="22"/>
    </row>
    <row r="13" spans="1:13" ht="21" x14ac:dyDescent="0.25">
      <c r="B13" s="21"/>
      <c r="C13" s="25" t="s">
        <v>37</v>
      </c>
      <c r="K13" s="26" t="s">
        <v>38</v>
      </c>
      <c r="L13" s="27"/>
      <c r="M13" s="22"/>
    </row>
    <row r="14" spans="1:13" x14ac:dyDescent="0.25">
      <c r="B14" s="21"/>
      <c r="M14" s="22"/>
    </row>
    <row r="15" spans="1:13" ht="18" x14ac:dyDescent="0.35">
      <c r="B15" s="21"/>
      <c r="C15" s="28" t="s">
        <v>49</v>
      </c>
      <c r="K15" s="29" t="s">
        <v>39</v>
      </c>
      <c r="L15" s="12"/>
      <c r="M15" s="22"/>
    </row>
    <row r="16" spans="1:13" ht="18" x14ac:dyDescent="0.35">
      <c r="B16" s="21"/>
      <c r="C16" s="28" t="s">
        <v>58</v>
      </c>
      <c r="F16" s="30"/>
      <c r="G16" s="28"/>
      <c r="K16" s="29" t="s">
        <v>40</v>
      </c>
      <c r="M16" s="22"/>
    </row>
    <row r="17" spans="2:13" ht="18" x14ac:dyDescent="0.35">
      <c r="B17" s="21"/>
      <c r="C17" s="28"/>
      <c r="G17" s="28"/>
      <c r="K17" s="29" t="s">
        <v>41</v>
      </c>
      <c r="M17" s="22"/>
    </row>
    <row r="18" spans="2:13" ht="18" x14ac:dyDescent="0.35">
      <c r="B18" s="21"/>
      <c r="C18" s="28"/>
      <c r="G18" s="28"/>
      <c r="K18" s="29"/>
      <c r="M18" s="22"/>
    </row>
    <row r="19" spans="2:13" ht="18" x14ac:dyDescent="0.35">
      <c r="B19" s="21"/>
      <c r="C19" s="28"/>
      <c r="G19" s="28"/>
      <c r="K19" s="29"/>
      <c r="M19" s="22"/>
    </row>
    <row r="20" spans="2:13" ht="18" x14ac:dyDescent="0.35">
      <c r="B20" s="21"/>
      <c r="C20" s="28"/>
      <c r="E20" s="31"/>
      <c r="G20" s="28"/>
      <c r="K20" s="29"/>
      <c r="M20" s="22"/>
    </row>
    <row r="21" spans="2:13" ht="18" x14ac:dyDescent="0.35">
      <c r="B21" s="21"/>
      <c r="K21" s="29"/>
      <c r="M21" s="22"/>
    </row>
    <row r="22" spans="2:13" ht="16.5" x14ac:dyDescent="0.3">
      <c r="B22" s="21"/>
      <c r="C22" s="32" t="s">
        <v>54</v>
      </c>
      <c r="D22" s="33"/>
      <c r="E22" s="33"/>
      <c r="M22" s="22"/>
    </row>
    <row r="23" spans="2:13" ht="18" x14ac:dyDescent="0.35">
      <c r="B23" s="21"/>
      <c r="C23" s="32" t="s">
        <v>48</v>
      </c>
      <c r="D23" s="33"/>
      <c r="E23" s="33"/>
      <c r="K23" s="34" t="s">
        <v>42</v>
      </c>
      <c r="L23" s="35" t="s">
        <v>43</v>
      </c>
      <c r="M23" s="22"/>
    </row>
    <row r="24" spans="2:13" ht="18" x14ac:dyDescent="0.35">
      <c r="B24" s="21"/>
      <c r="C24" s="28"/>
      <c r="D24" s="28"/>
      <c r="E24" s="28"/>
      <c r="K24" s="36" t="s">
        <v>44</v>
      </c>
      <c r="L24" s="37" t="s">
        <v>45</v>
      </c>
      <c r="M24" s="22"/>
    </row>
    <row r="25" spans="2:13" ht="18" x14ac:dyDescent="0.35">
      <c r="B25" s="21"/>
      <c r="C25" s="28"/>
      <c r="D25" s="28"/>
      <c r="E25" s="28"/>
      <c r="K25" s="34" t="s">
        <v>46</v>
      </c>
      <c r="L25" s="38" t="s">
        <v>47</v>
      </c>
      <c r="M25" s="22"/>
    </row>
    <row r="26" spans="2:13" ht="18" x14ac:dyDescent="0.35">
      <c r="B26" s="21"/>
      <c r="C26" s="28"/>
      <c r="D26" s="28"/>
      <c r="E26" s="28"/>
      <c r="M26" s="22"/>
    </row>
    <row r="27" spans="2:13" x14ac:dyDescent="0.25">
      <c r="B27" s="21"/>
      <c r="M27" s="22"/>
    </row>
    <row r="28" spans="2:13" ht="15.75" thickBot="1" x14ac:dyDescent="0.3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1"/>
    </row>
    <row r="29" spans="2:13" ht="15.75" thickTop="1" x14ac:dyDescent="0.25"/>
  </sheetData>
  <hyperlinks>
    <hyperlink ref="C16" location="Model!A1" display="Model" xr:uid="{8C5DAF68-1627-4609-8DF0-1C654B829CE1}"/>
    <hyperlink ref="C15" location="Cover!A1" display="Cover" xr:uid="{8A6BC1A5-7DDF-434F-AC24-250F4C5C64C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53"/>
  <sheetViews>
    <sheetView showGridLines="0" zoomScale="128" zoomScaleNormal="160" workbookViewId="0"/>
  </sheetViews>
  <sheetFormatPr defaultRowHeight="15" x14ac:dyDescent="0.25"/>
  <cols>
    <col min="1" max="1" width="3.5703125" customWidth="1"/>
    <col min="2" max="2" width="21.42578125" bestFit="1" customWidth="1"/>
    <col min="3" max="3" width="9.42578125" bestFit="1" customWidth="1"/>
    <col min="4" max="4" width="12.140625" customWidth="1"/>
    <col min="5" max="5" width="10.85546875" customWidth="1"/>
    <col min="6" max="6" width="11.5703125" customWidth="1"/>
    <col min="7" max="7" width="10.5703125" customWidth="1"/>
    <col min="8" max="8" width="10.28515625" customWidth="1"/>
    <col min="9" max="9" width="18.140625" bestFit="1" customWidth="1"/>
    <col min="11" max="15" width="9.85546875" bestFit="1" customWidth="1"/>
  </cols>
  <sheetData>
    <row r="2" spans="1:16" x14ac:dyDescent="0.25">
      <c r="A2" t="s">
        <v>35</v>
      </c>
      <c r="B2" s="8" t="s">
        <v>25</v>
      </c>
      <c r="C2" s="7"/>
      <c r="D2" s="7"/>
      <c r="E2" s="7"/>
      <c r="F2" s="7"/>
      <c r="G2" s="7"/>
      <c r="H2" s="7"/>
    </row>
    <row r="3" spans="1:16" x14ac:dyDescent="0.25">
      <c r="B3" s="42">
        <v>1</v>
      </c>
      <c r="C3" s="45">
        <v>0</v>
      </c>
      <c r="D3" s="9">
        <f>C3+1</f>
        <v>1</v>
      </c>
      <c r="E3" s="9">
        <f>D3+1</f>
        <v>2</v>
      </c>
      <c r="F3" s="9">
        <f t="shared" ref="F3:H3" si="0">E3+1</f>
        <v>3</v>
      </c>
      <c r="G3" s="9">
        <f t="shared" si="0"/>
        <v>4</v>
      </c>
      <c r="H3" s="9">
        <f t="shared" si="0"/>
        <v>5</v>
      </c>
      <c r="I3" t="s">
        <v>15</v>
      </c>
      <c r="J3" s="3">
        <f>D10-(SUM(D17:H17))</f>
        <v>5760</v>
      </c>
    </row>
    <row r="4" spans="1:16" x14ac:dyDescent="0.25">
      <c r="B4" t="s">
        <v>5</v>
      </c>
      <c r="D4" s="43">
        <f>CHOOSE($B$3,Sheet2!D2,Sheet2!D12,Sheet2!D22)</f>
        <v>5000</v>
      </c>
      <c r="E4" s="43">
        <f>CHOOSE($B$3,Sheet2!E2,Sheet2!E12,Sheet2!E22)</f>
        <v>8000</v>
      </c>
      <c r="F4" s="43">
        <f>CHOOSE($B$3,Sheet2!F2,Sheet2!F12,Sheet2!F22)</f>
        <v>12000</v>
      </c>
      <c r="G4" s="43">
        <f>CHOOSE($B$3,Sheet2!G2,Sheet2!G12,Sheet2!G22)</f>
        <v>10000</v>
      </c>
      <c r="H4" s="43">
        <f>CHOOSE($B$3,Sheet2!H2,Sheet2!H12,Sheet2!H22)</f>
        <v>6000</v>
      </c>
      <c r="I4" t="s">
        <v>20</v>
      </c>
      <c r="J4" s="43">
        <v>30000</v>
      </c>
    </row>
    <row r="5" spans="1:16" x14ac:dyDescent="0.25">
      <c r="B5" t="s">
        <v>6</v>
      </c>
      <c r="D5" s="46">
        <f>CHOOSE($B$3,Sheet2!D3,Sheet2!D13,Sheet2!D23)</f>
        <v>20</v>
      </c>
      <c r="E5" s="46">
        <f>CHOOSE($B$3,Sheet2!E3,Sheet2!E13,Sheet2!E23)</f>
        <v>20.399999999999999</v>
      </c>
      <c r="F5" s="46">
        <f>CHOOSE($B$3,Sheet2!F3,Sheet2!F13,Sheet2!F23)</f>
        <v>20.808</v>
      </c>
      <c r="G5" s="46">
        <f>CHOOSE($B$3,Sheet2!G3,Sheet2!G13,Sheet2!G23)</f>
        <v>21.224160000000001</v>
      </c>
      <c r="H5" s="46">
        <f>CHOOSE($B$3,Sheet2!H3,Sheet2!H13,Sheet2!H23)</f>
        <v>21.648643200000002</v>
      </c>
      <c r="I5" t="s">
        <v>21</v>
      </c>
      <c r="J5" s="3">
        <f>J4-((J4-J3)*H11)</f>
        <v>21758.400000000001</v>
      </c>
    </row>
    <row r="6" spans="1:16" x14ac:dyDescent="0.25">
      <c r="B6" t="s">
        <v>7</v>
      </c>
      <c r="D6" s="46">
        <f>CHOOSE($B$3,Sheet2!D4,Sheet2!D14,Sheet2!D24)</f>
        <v>10</v>
      </c>
      <c r="E6" s="46">
        <f>CHOOSE($B$3,Sheet2!E4,Sheet2!E14,Sheet2!E24)</f>
        <v>11</v>
      </c>
      <c r="F6" s="46">
        <f>CHOOSE($B$3,Sheet2!F4,Sheet2!F14,Sheet2!F24)</f>
        <v>12.100000000000001</v>
      </c>
      <c r="G6" s="46">
        <f>CHOOSE($B$3,Sheet2!G4,Sheet2!G14,Sheet2!G24)</f>
        <v>13.310000000000002</v>
      </c>
      <c r="H6" s="46">
        <f>CHOOSE($B$3,Sheet2!H4,Sheet2!H14,Sheet2!H24)</f>
        <v>14.641000000000004</v>
      </c>
    </row>
    <row r="7" spans="1:16" x14ac:dyDescent="0.25">
      <c r="B7" t="s">
        <v>8</v>
      </c>
      <c r="D7" s="47">
        <f>CHOOSE($B$3,Sheet2!D5,Sheet2!D15,Sheet2!D25)</f>
        <v>0.05</v>
      </c>
      <c r="E7" s="47">
        <f>CHOOSE($B$3,Sheet2!E5,Sheet2!E15,Sheet2!E25)</f>
        <v>0.05</v>
      </c>
      <c r="F7" s="47">
        <f>CHOOSE($B$3,Sheet2!F5,Sheet2!F15,Sheet2!F25)</f>
        <v>0.05</v>
      </c>
      <c r="G7" s="47">
        <f>CHOOSE($B$3,Sheet2!G5,Sheet2!G15,Sheet2!G25)</f>
        <v>0.05</v>
      </c>
      <c r="H7" s="47">
        <f>CHOOSE($B$3,Sheet2!H5,Sheet2!H15,Sheet2!H25)</f>
        <v>0.05</v>
      </c>
    </row>
    <row r="8" spans="1:16" x14ac:dyDescent="0.25">
      <c r="B8" t="s">
        <v>9</v>
      </c>
      <c r="C8" s="43">
        <v>10000</v>
      </c>
      <c r="D8" s="43">
        <f>(0.1*D15)</f>
        <v>10000</v>
      </c>
      <c r="E8" s="43">
        <f>(0.1*E15)</f>
        <v>16320</v>
      </c>
      <c r="F8" s="43">
        <f>(0.1*F15)</f>
        <v>24969.600000000002</v>
      </c>
      <c r="G8" s="43">
        <f>(0.1*G15)</f>
        <v>21224.160000000003</v>
      </c>
      <c r="H8" s="43">
        <f>(0.1*H15)</f>
        <v>12989.185920000002</v>
      </c>
    </row>
    <row r="9" spans="1:16" x14ac:dyDescent="0.25">
      <c r="B9" t="s">
        <v>11</v>
      </c>
      <c r="D9" s="44">
        <v>0.2</v>
      </c>
      <c r="E9" s="44">
        <v>0.32</v>
      </c>
      <c r="F9" s="44">
        <v>0.192</v>
      </c>
      <c r="G9" s="44">
        <v>0.1152</v>
      </c>
      <c r="H9" s="44">
        <v>0.1152</v>
      </c>
    </row>
    <row r="10" spans="1:16" x14ac:dyDescent="0.25">
      <c r="B10" t="s">
        <v>12</v>
      </c>
      <c r="D10" s="43">
        <v>100000</v>
      </c>
      <c r="E10" s="43">
        <v>100000</v>
      </c>
      <c r="F10" s="43">
        <v>100000</v>
      </c>
      <c r="G10" s="43">
        <v>100000</v>
      </c>
      <c r="H10" s="43">
        <v>100000</v>
      </c>
    </row>
    <row r="11" spans="1:16" x14ac:dyDescent="0.25">
      <c r="B11" t="s">
        <v>13</v>
      </c>
      <c r="D11" s="44">
        <f>CHOOSE($B$3,Sheet2!D9,Sheet2!D19,Sheet2!D29)</f>
        <v>0.34</v>
      </c>
      <c r="E11" s="44">
        <f>CHOOSE($B$3,Sheet2!E9,Sheet2!E19,Sheet2!E29)</f>
        <v>0.34</v>
      </c>
      <c r="F11" s="44">
        <f>CHOOSE($B$3,Sheet2!F9,Sheet2!F19,Sheet2!F29)</f>
        <v>0.34</v>
      </c>
      <c r="G11" s="44">
        <f>CHOOSE($B$3,Sheet2!G9,Sheet2!G19,Sheet2!G29)</f>
        <v>0.34</v>
      </c>
      <c r="H11" s="44">
        <f>CHOOSE($B$3,Sheet2!H9,Sheet2!H19,Sheet2!H29)</f>
        <v>0.34</v>
      </c>
      <c r="P11" s="3"/>
    </row>
    <row r="13" spans="1:16" x14ac:dyDescent="0.25">
      <c r="A13" t="s">
        <v>35</v>
      </c>
      <c r="B13" s="8" t="s">
        <v>22</v>
      </c>
      <c r="C13" s="7"/>
      <c r="D13" s="7"/>
      <c r="E13" s="7"/>
      <c r="F13" s="7"/>
      <c r="G13" s="7"/>
      <c r="H13" s="7"/>
    </row>
    <row r="14" spans="1:16" x14ac:dyDescent="0.25">
      <c r="C14" s="45">
        <v>0</v>
      </c>
      <c r="D14" s="9">
        <f>C14+1</f>
        <v>1</v>
      </c>
      <c r="E14" s="9">
        <f t="shared" ref="E14:H14" si="1">D14+1</f>
        <v>2</v>
      </c>
      <c r="F14" s="9">
        <f t="shared" si="1"/>
        <v>3</v>
      </c>
      <c r="G14" s="9">
        <f t="shared" si="1"/>
        <v>4</v>
      </c>
      <c r="H14" s="9">
        <f t="shared" si="1"/>
        <v>5</v>
      </c>
    </row>
    <row r="15" spans="1:16" x14ac:dyDescent="0.25">
      <c r="B15" t="s">
        <v>0</v>
      </c>
      <c r="D15" s="3">
        <f>D4*D5</f>
        <v>100000</v>
      </c>
      <c r="E15" s="3">
        <f>E4*E5</f>
        <v>163200</v>
      </c>
      <c r="F15" s="3">
        <f>F4*F5</f>
        <v>249696</v>
      </c>
      <c r="G15" s="3">
        <f>G4*G5</f>
        <v>212241.6</v>
      </c>
      <c r="H15" s="3">
        <f>H4*H5</f>
        <v>129891.85920000001</v>
      </c>
    </row>
    <row r="16" spans="1:16" x14ac:dyDescent="0.25">
      <c r="B16" t="s">
        <v>1</v>
      </c>
      <c r="D16" s="3">
        <f>D6*D4</f>
        <v>50000</v>
      </c>
      <c r="E16" s="3">
        <f>E6*E4</f>
        <v>88000</v>
      </c>
      <c r="F16" s="3">
        <f>F6*F4</f>
        <v>145200.00000000003</v>
      </c>
      <c r="G16" s="3">
        <f>G6*G4</f>
        <v>133100.00000000003</v>
      </c>
      <c r="H16" s="3">
        <f>H6*H4</f>
        <v>87846.000000000015</v>
      </c>
    </row>
    <row r="17" spans="1:8" x14ac:dyDescent="0.25">
      <c r="B17" t="s">
        <v>2</v>
      </c>
      <c r="D17" s="3">
        <f>D9*D10</f>
        <v>20000</v>
      </c>
      <c r="E17" s="3">
        <f>E9*E10</f>
        <v>32000</v>
      </c>
      <c r="F17" s="3">
        <f>F9*F10</f>
        <v>19200</v>
      </c>
      <c r="G17" s="3">
        <f>G9*G10</f>
        <v>11520</v>
      </c>
      <c r="H17" s="3">
        <f>H9*H10</f>
        <v>11520</v>
      </c>
    </row>
    <row r="18" spans="1:8" x14ac:dyDescent="0.25">
      <c r="B18" s="4" t="s">
        <v>3</v>
      </c>
      <c r="C18" s="4"/>
      <c r="D18" s="5">
        <f>D15-D16-D17</f>
        <v>30000</v>
      </c>
      <c r="E18" s="5">
        <f t="shared" ref="E18:H18" si="2">E15-E16-E17</f>
        <v>43200</v>
      </c>
      <c r="F18" s="5">
        <f t="shared" si="2"/>
        <v>85295.999999999971</v>
      </c>
      <c r="G18" s="5">
        <f t="shared" si="2"/>
        <v>67621.599999999977</v>
      </c>
      <c r="H18" s="5">
        <f t="shared" si="2"/>
        <v>30525.859199999992</v>
      </c>
    </row>
    <row r="19" spans="1:8" x14ac:dyDescent="0.25">
      <c r="B19" t="str">
        <f>"tax at " &amp;  D11</f>
        <v>tax at 0.34</v>
      </c>
      <c r="D19">
        <f>D18*D11</f>
        <v>10200</v>
      </c>
      <c r="E19">
        <f>E18*E11</f>
        <v>14688.000000000002</v>
      </c>
      <c r="F19">
        <f>F18*F11</f>
        <v>29000.639999999992</v>
      </c>
      <c r="G19">
        <f>G18*G11</f>
        <v>22991.343999999994</v>
      </c>
      <c r="H19">
        <f>H18*H11</f>
        <v>10378.792127999997</v>
      </c>
    </row>
    <row r="20" spans="1:8" ht="15.75" thickBot="1" x14ac:dyDescent="0.3">
      <c r="B20" s="6" t="s">
        <v>4</v>
      </c>
      <c r="C20" s="11"/>
      <c r="D20" s="10">
        <f>D18-D19</f>
        <v>19800</v>
      </c>
      <c r="E20" s="10">
        <f t="shared" ref="E20:H20" si="3">E18-E19</f>
        <v>28512</v>
      </c>
      <c r="F20" s="10">
        <f t="shared" si="3"/>
        <v>56295.359999999979</v>
      </c>
      <c r="G20" s="10">
        <f t="shared" si="3"/>
        <v>44630.255999999979</v>
      </c>
      <c r="H20" s="10">
        <f t="shared" si="3"/>
        <v>20147.067071999994</v>
      </c>
    </row>
    <row r="22" spans="1:8" x14ac:dyDescent="0.25">
      <c r="A22" t="s">
        <v>35</v>
      </c>
      <c r="B22" s="8" t="s">
        <v>23</v>
      </c>
      <c r="C22" s="7"/>
      <c r="D22" s="7"/>
      <c r="E22" s="7"/>
      <c r="F22" s="7"/>
      <c r="G22" s="7"/>
      <c r="H22" s="7"/>
    </row>
    <row r="23" spans="1:8" x14ac:dyDescent="0.25">
      <c r="C23" s="45">
        <v>0</v>
      </c>
      <c r="D23" s="9">
        <f>C23+1</f>
        <v>1</v>
      </c>
      <c r="E23" s="9">
        <f t="shared" ref="E23:H23" si="4">D23+1</f>
        <v>2</v>
      </c>
      <c r="F23" s="9">
        <f t="shared" si="4"/>
        <v>3</v>
      </c>
      <c r="G23" s="9">
        <f t="shared" si="4"/>
        <v>4</v>
      </c>
      <c r="H23" s="9">
        <f t="shared" si="4"/>
        <v>5</v>
      </c>
    </row>
    <row r="24" spans="1:8" x14ac:dyDescent="0.25">
      <c r="B24" t="s">
        <v>4</v>
      </c>
      <c r="D24" s="3">
        <f>D20</f>
        <v>19800</v>
      </c>
      <c r="E24" s="3">
        <f t="shared" ref="E24:H24" si="5">E20</f>
        <v>28512</v>
      </c>
      <c r="F24" s="3">
        <f t="shared" si="5"/>
        <v>56295.359999999979</v>
      </c>
      <c r="G24" s="3">
        <f t="shared" si="5"/>
        <v>44630.255999999979</v>
      </c>
      <c r="H24" s="3">
        <f t="shared" si="5"/>
        <v>20147.067071999994</v>
      </c>
    </row>
    <row r="25" spans="1:8" x14ac:dyDescent="0.25">
      <c r="B25" t="s">
        <v>10</v>
      </c>
      <c r="D25" s="3">
        <f>D17</f>
        <v>20000</v>
      </c>
      <c r="E25" s="3">
        <f t="shared" ref="E25:H25" si="6">E17</f>
        <v>32000</v>
      </c>
      <c r="F25" s="3">
        <f t="shared" si="6"/>
        <v>19200</v>
      </c>
      <c r="G25" s="3">
        <f t="shared" si="6"/>
        <v>11520</v>
      </c>
      <c r="H25" s="3">
        <f t="shared" si="6"/>
        <v>11520</v>
      </c>
    </row>
    <row r="26" spans="1:8" ht="15.75" thickBot="1" x14ac:dyDescent="0.3">
      <c r="B26" s="6" t="s">
        <v>14</v>
      </c>
      <c r="C26" s="11"/>
      <c r="D26" s="10">
        <f>D24+D25</f>
        <v>39800</v>
      </c>
      <c r="E26" s="10">
        <f t="shared" ref="E26:H26" si="7">E24+E25</f>
        <v>60512</v>
      </c>
      <c r="F26" s="10">
        <f t="shared" si="7"/>
        <v>75495.359999999986</v>
      </c>
      <c r="G26" s="10">
        <f t="shared" si="7"/>
        <v>56150.255999999979</v>
      </c>
      <c r="H26" s="10">
        <f t="shared" si="7"/>
        <v>31667.067071999994</v>
      </c>
    </row>
    <row r="27" spans="1:8" x14ac:dyDescent="0.25">
      <c r="D27" s="3"/>
    </row>
    <row r="28" spans="1:8" x14ac:dyDescent="0.25">
      <c r="A28" t="s">
        <v>35</v>
      </c>
      <c r="B28" s="8" t="s">
        <v>24</v>
      </c>
      <c r="C28" s="7"/>
      <c r="D28" s="7"/>
      <c r="E28" s="7"/>
      <c r="F28" s="7"/>
      <c r="G28" s="7"/>
      <c r="H28" s="7"/>
    </row>
    <row r="29" spans="1:8" x14ac:dyDescent="0.25">
      <c r="C29" s="45">
        <v>0</v>
      </c>
      <c r="D29" s="9">
        <f>C29+1</f>
        <v>1</v>
      </c>
      <c r="E29" s="9">
        <f t="shared" ref="E29:H29" si="8">D29+1</f>
        <v>2</v>
      </c>
      <c r="F29" s="9">
        <f t="shared" si="8"/>
        <v>3</v>
      </c>
      <c r="G29" s="9">
        <f t="shared" si="8"/>
        <v>4</v>
      </c>
      <c r="H29" s="9">
        <f t="shared" si="8"/>
        <v>5</v>
      </c>
    </row>
    <row r="30" spans="1:8" x14ac:dyDescent="0.25">
      <c r="B30" t="s">
        <v>16</v>
      </c>
      <c r="C30" s="3">
        <f t="shared" ref="C30:H30" si="9">C8</f>
        <v>10000</v>
      </c>
      <c r="D30" s="3">
        <f t="shared" si="9"/>
        <v>10000</v>
      </c>
      <c r="E30" s="3">
        <f t="shared" si="9"/>
        <v>16320</v>
      </c>
      <c r="F30" s="3">
        <f t="shared" si="9"/>
        <v>24969.600000000002</v>
      </c>
      <c r="G30" s="3">
        <f t="shared" si="9"/>
        <v>21224.160000000003</v>
      </c>
      <c r="H30" s="3">
        <f t="shared" si="9"/>
        <v>12989.185920000002</v>
      </c>
    </row>
    <row r="31" spans="1:8" x14ac:dyDescent="0.25">
      <c r="B31" t="s">
        <v>55</v>
      </c>
      <c r="C31" s="3">
        <f>-C30</f>
        <v>-10000</v>
      </c>
    </row>
    <row r="32" spans="1:8" x14ac:dyDescent="0.25">
      <c r="B32" t="s">
        <v>17</v>
      </c>
      <c r="D32" s="3">
        <f>C30-D30</f>
        <v>0</v>
      </c>
      <c r="E32" s="3">
        <f>D30-E30</f>
        <v>-6320</v>
      </c>
      <c r="F32" s="3">
        <f>E30-F30</f>
        <v>-8649.6000000000022</v>
      </c>
      <c r="G32" s="3">
        <f>F30-G30</f>
        <v>3745.4399999999987</v>
      </c>
      <c r="H32" s="3">
        <f>G30-H30</f>
        <v>8234.9740800000018</v>
      </c>
    </row>
    <row r="33" spans="1:8" x14ac:dyDescent="0.25">
      <c r="B33" t="s">
        <v>18</v>
      </c>
      <c r="H33" s="3">
        <f>H30</f>
        <v>12989.185920000002</v>
      </c>
    </row>
    <row r="34" spans="1:8" ht="15.75" thickBot="1" x14ac:dyDescent="0.3">
      <c r="B34" t="s">
        <v>19</v>
      </c>
      <c r="C34" s="10">
        <f>C31+C32+C33</f>
        <v>-10000</v>
      </c>
      <c r="D34" s="10">
        <f>D31+D32+D33</f>
        <v>0</v>
      </c>
      <c r="E34" s="10">
        <f>E31+E32+E33</f>
        <v>-6320</v>
      </c>
      <c r="F34" s="10">
        <f t="shared" ref="F34:G34" si="10">F31+F32+F33</f>
        <v>-8649.6000000000022</v>
      </c>
      <c r="G34" s="10">
        <f t="shared" si="10"/>
        <v>3745.4399999999987</v>
      </c>
      <c r="H34" s="10">
        <f>H31+H32+H33</f>
        <v>21224.160000000003</v>
      </c>
    </row>
    <row r="36" spans="1:8" x14ac:dyDescent="0.25">
      <c r="A36" t="s">
        <v>35</v>
      </c>
      <c r="B36" s="8" t="s">
        <v>30</v>
      </c>
      <c r="C36" s="7"/>
      <c r="D36" s="7"/>
      <c r="E36" s="7"/>
      <c r="F36" s="7"/>
      <c r="G36" s="7"/>
      <c r="H36" s="7"/>
    </row>
    <row r="37" spans="1:8" x14ac:dyDescent="0.25">
      <c r="C37" s="45">
        <v>0</v>
      </c>
      <c r="D37" s="9">
        <f>C37+1</f>
        <v>1</v>
      </c>
      <c r="E37" s="9">
        <f t="shared" ref="E37" si="11">D37+1</f>
        <v>2</v>
      </c>
      <c r="F37" s="9">
        <f t="shared" ref="F37" si="12">E37+1</f>
        <v>3</v>
      </c>
      <c r="G37" s="9">
        <f t="shared" ref="G37" si="13">F37+1</f>
        <v>4</v>
      </c>
      <c r="H37" s="9">
        <f t="shared" ref="H37" si="14">G37+1</f>
        <v>5</v>
      </c>
    </row>
    <row r="38" spans="1:8" x14ac:dyDescent="0.25">
      <c r="B38" t="s">
        <v>31</v>
      </c>
      <c r="C38" s="43">
        <v>-100000</v>
      </c>
      <c r="H38" s="43">
        <v>21758.400000000001</v>
      </c>
    </row>
    <row r="39" spans="1:8" x14ac:dyDescent="0.25">
      <c r="B39" t="s">
        <v>56</v>
      </c>
      <c r="C39" s="43">
        <v>-150000</v>
      </c>
      <c r="H39" s="43">
        <v>150000</v>
      </c>
    </row>
    <row r="40" spans="1:8" x14ac:dyDescent="0.25">
      <c r="B40" t="s">
        <v>19</v>
      </c>
      <c r="C40" s="3">
        <f>C34</f>
        <v>-10000</v>
      </c>
      <c r="D40" s="3">
        <f t="shared" ref="D40:H40" si="15">D34</f>
        <v>0</v>
      </c>
      <c r="E40" s="3">
        <f t="shared" si="15"/>
        <v>-6320</v>
      </c>
      <c r="F40" s="3">
        <f t="shared" si="15"/>
        <v>-8649.6000000000022</v>
      </c>
      <c r="G40" s="3">
        <f t="shared" si="15"/>
        <v>3745.4399999999987</v>
      </c>
      <c r="H40" s="3">
        <f t="shared" si="15"/>
        <v>21224.160000000003</v>
      </c>
    </row>
    <row r="41" spans="1:8" ht="15.75" thickBot="1" x14ac:dyDescent="0.3">
      <c r="B41" t="s">
        <v>32</v>
      </c>
      <c r="C41" s="10">
        <f>SUM(C38:C40)</f>
        <v>-260000</v>
      </c>
      <c r="D41" s="10">
        <f t="shared" ref="D41:H41" si="16">SUM(D38:D40)</f>
        <v>0</v>
      </c>
      <c r="E41" s="10">
        <f t="shared" si="16"/>
        <v>-6320</v>
      </c>
      <c r="F41" s="10">
        <f t="shared" si="16"/>
        <v>-8649.6000000000022</v>
      </c>
      <c r="G41" s="10">
        <f t="shared" si="16"/>
        <v>3745.4399999999987</v>
      </c>
      <c r="H41" s="10">
        <f t="shared" si="16"/>
        <v>192982.56</v>
      </c>
    </row>
    <row r="43" spans="1:8" x14ac:dyDescent="0.25">
      <c r="A43" t="s">
        <v>35</v>
      </c>
      <c r="B43" s="8" t="s">
        <v>33</v>
      </c>
      <c r="C43" s="7"/>
      <c r="D43" s="7"/>
      <c r="E43" s="7"/>
      <c r="F43" s="7"/>
      <c r="G43" s="7"/>
      <c r="H43" s="7"/>
    </row>
    <row r="44" spans="1:8" x14ac:dyDescent="0.25">
      <c r="C44" s="45">
        <v>0</v>
      </c>
      <c r="D44" s="9">
        <f>C44+1</f>
        <v>1</v>
      </c>
      <c r="E44" s="9">
        <f t="shared" ref="E44" si="17">D44+1</f>
        <v>2</v>
      </c>
      <c r="F44" s="9">
        <f t="shared" ref="F44" si="18">E44+1</f>
        <v>3</v>
      </c>
      <c r="G44" s="9">
        <f t="shared" ref="G44" si="19">F44+1</f>
        <v>4</v>
      </c>
      <c r="H44" s="9">
        <f t="shared" ref="H44" si="20">G44+1</f>
        <v>5</v>
      </c>
    </row>
    <row r="45" spans="1:8" x14ac:dyDescent="0.25">
      <c r="B45" t="s">
        <v>14</v>
      </c>
      <c r="C45" s="3">
        <f>C26</f>
        <v>0</v>
      </c>
      <c r="D45" s="3">
        <f t="shared" ref="D45:H45" si="21">D26</f>
        <v>39800</v>
      </c>
      <c r="E45" s="3">
        <f t="shared" si="21"/>
        <v>60512</v>
      </c>
      <c r="F45" s="3">
        <f t="shared" si="21"/>
        <v>75495.359999999986</v>
      </c>
      <c r="G45" s="3">
        <f t="shared" si="21"/>
        <v>56150.255999999979</v>
      </c>
      <c r="H45" s="3">
        <f t="shared" si="21"/>
        <v>31667.067071999994</v>
      </c>
    </row>
    <row r="46" spans="1:8" x14ac:dyDescent="0.25">
      <c r="B46" t="s">
        <v>32</v>
      </c>
      <c r="C46" s="3">
        <f>C41</f>
        <v>-260000</v>
      </c>
      <c r="D46" s="3">
        <f t="shared" ref="D46:H46" si="22">D41</f>
        <v>0</v>
      </c>
      <c r="E46" s="3">
        <f t="shared" si="22"/>
        <v>-6320</v>
      </c>
      <c r="F46" s="3">
        <f t="shared" si="22"/>
        <v>-8649.6000000000022</v>
      </c>
      <c r="G46" s="3">
        <f t="shared" si="22"/>
        <v>3745.4399999999987</v>
      </c>
      <c r="H46" s="3">
        <f t="shared" si="22"/>
        <v>192982.56</v>
      </c>
    </row>
    <row r="47" spans="1:8" ht="15.75" thickBot="1" x14ac:dyDescent="0.3">
      <c r="B47" t="s">
        <v>34</v>
      </c>
      <c r="C47" s="10">
        <f>SUM(C45:C46)</f>
        <v>-260000</v>
      </c>
      <c r="D47" s="10">
        <f t="shared" ref="D47:H47" si="23">SUM(D45:D46)</f>
        <v>39800</v>
      </c>
      <c r="E47" s="10">
        <f t="shared" si="23"/>
        <v>54192</v>
      </c>
      <c r="F47" s="10">
        <f t="shared" si="23"/>
        <v>66845.75999999998</v>
      </c>
      <c r="G47" s="10">
        <f t="shared" si="23"/>
        <v>59895.695999999982</v>
      </c>
      <c r="H47" s="10">
        <f t="shared" si="23"/>
        <v>224649.627072</v>
      </c>
    </row>
    <row r="48" spans="1:8" x14ac:dyDescent="0.25">
      <c r="B48" t="s">
        <v>57</v>
      </c>
      <c r="C48" s="3">
        <f>C47</f>
        <v>-260000</v>
      </c>
      <c r="D48" s="3">
        <f>C47+D47</f>
        <v>-220200</v>
      </c>
      <c r="E48" s="3">
        <f>D48+E47</f>
        <v>-166008</v>
      </c>
      <c r="F48" s="3">
        <f>E48+F47</f>
        <v>-99162.24000000002</v>
      </c>
      <c r="G48" s="3">
        <f t="shared" ref="G48:H48" si="24">F48+G47</f>
        <v>-39266.544000000038</v>
      </c>
      <c r="H48" s="3">
        <f t="shared" si="24"/>
        <v>185383.08307199995</v>
      </c>
    </row>
    <row r="49" spans="1:8" x14ac:dyDescent="0.25">
      <c r="C49" s="49">
        <f>IF(C48&gt;1,1,0)</f>
        <v>0</v>
      </c>
      <c r="D49" s="49">
        <f t="shared" ref="D49:H49" si="25">IF(D48&gt;1,1,0)</f>
        <v>0</v>
      </c>
      <c r="E49" s="49">
        <f t="shared" si="25"/>
        <v>0</v>
      </c>
      <c r="F49" s="49">
        <f t="shared" si="25"/>
        <v>0</v>
      </c>
      <c r="G49" s="49">
        <f t="shared" si="25"/>
        <v>0</v>
      </c>
      <c r="H49" s="49">
        <f t="shared" si="25"/>
        <v>1</v>
      </c>
    </row>
    <row r="50" spans="1:8" x14ac:dyDescent="0.25">
      <c r="A50" t="s">
        <v>35</v>
      </c>
      <c r="B50" s="8" t="s">
        <v>33</v>
      </c>
      <c r="C50" s="13">
        <f>C47+NPV(0.1,D47:H47)</f>
        <v>51590.113859584671</v>
      </c>
    </row>
    <row r="51" spans="1:8" x14ac:dyDescent="0.25">
      <c r="B51" s="8" t="s">
        <v>52</v>
      </c>
      <c r="C51" s="50">
        <f>IRR(C47:H47)</f>
        <v>0.15677122719022951</v>
      </c>
    </row>
    <row r="52" spans="1:8" x14ac:dyDescent="0.25">
      <c r="B52" s="8" t="s">
        <v>50</v>
      </c>
      <c r="C52" s="48">
        <f>(C50+-C47)/-C47</f>
        <v>1.1984235148445563</v>
      </c>
    </row>
    <row r="53" spans="1:8" x14ac:dyDescent="0.25">
      <c r="B53" s="8" t="s">
        <v>51</v>
      </c>
      <c r="C53" s="48">
        <f>IF(H48*G48&lt;0,INTERCEPT(G44:H44,G48:H48),0)</f>
        <v>4.1747901588432867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Drop Down 2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1</xdr:col>
                    <xdr:colOff>1419225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3</xdr:col>
                    <xdr:colOff>19050</xdr:colOff>
                    <xdr:row>48</xdr:row>
                    <xdr:rowOff>190500</xdr:rowOff>
                  </from>
                  <to>
                    <xdr:col>4</xdr:col>
                    <xdr:colOff>638175</xdr:colOff>
                    <xdr:row>50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6380-8581-46AE-ADA8-8393774F0070}">
  <dimension ref="A1:J29"/>
  <sheetViews>
    <sheetView workbookViewId="0"/>
  </sheetViews>
  <sheetFormatPr defaultRowHeight="15" x14ac:dyDescent="0.25"/>
  <cols>
    <col min="1" max="1" width="10.28515625" bestFit="1" customWidth="1"/>
    <col min="2" max="2" width="15.85546875" bestFit="1" customWidth="1"/>
    <col min="3" max="3" width="6.5703125" bestFit="1" customWidth="1"/>
    <col min="4" max="8" width="8" bestFit="1" customWidth="1"/>
  </cols>
  <sheetData>
    <row r="1" spans="1:10" x14ac:dyDescent="0.25">
      <c r="A1" t="s">
        <v>26</v>
      </c>
    </row>
    <row r="2" spans="1:10" x14ac:dyDescent="0.25">
      <c r="B2" t="s">
        <v>5</v>
      </c>
      <c r="D2" s="3">
        <v>5000</v>
      </c>
      <c r="E2" s="3">
        <v>8000</v>
      </c>
      <c r="F2" s="3">
        <v>12000</v>
      </c>
      <c r="G2" s="3">
        <v>10000</v>
      </c>
      <c r="H2" s="3">
        <v>6000</v>
      </c>
    </row>
    <row r="3" spans="1:10" x14ac:dyDescent="0.25">
      <c r="B3" t="s">
        <v>6</v>
      </c>
      <c r="D3" s="2">
        <v>20</v>
      </c>
      <c r="E3" s="2">
        <v>20.399999999999999</v>
      </c>
      <c r="F3" s="2">
        <v>20.808</v>
      </c>
      <c r="G3" s="2">
        <v>21.224160000000001</v>
      </c>
      <c r="H3" s="2">
        <v>21.648643200000002</v>
      </c>
    </row>
    <row r="4" spans="1:10" x14ac:dyDescent="0.25">
      <c r="B4" t="s">
        <v>7</v>
      </c>
      <c r="D4" s="2">
        <v>10</v>
      </c>
      <c r="E4" s="2">
        <v>11</v>
      </c>
      <c r="F4" s="2">
        <v>12.100000000000001</v>
      </c>
      <c r="G4" s="2">
        <v>13.310000000000002</v>
      </c>
      <c r="H4" s="2">
        <v>14.641000000000004</v>
      </c>
    </row>
    <row r="5" spans="1:10" x14ac:dyDescent="0.25">
      <c r="B5" t="s">
        <v>8</v>
      </c>
      <c r="D5" s="1">
        <v>0.05</v>
      </c>
      <c r="E5" s="1">
        <v>0.05</v>
      </c>
      <c r="F5" s="1">
        <v>0.05</v>
      </c>
      <c r="G5" s="1">
        <v>0.05</v>
      </c>
      <c r="H5" s="1">
        <v>0.05</v>
      </c>
    </row>
    <row r="6" spans="1:10" x14ac:dyDescent="0.25">
      <c r="B6" t="s">
        <v>9</v>
      </c>
      <c r="C6" s="3">
        <v>10000</v>
      </c>
      <c r="D6" s="3">
        <v>10000</v>
      </c>
      <c r="E6" s="3">
        <v>16320</v>
      </c>
      <c r="F6" s="3">
        <v>24969.600000000002</v>
      </c>
      <c r="G6" s="3">
        <v>21224.160000000003</v>
      </c>
      <c r="H6" s="3">
        <v>12989.185920000002</v>
      </c>
    </row>
    <row r="7" spans="1:10" x14ac:dyDescent="0.25">
      <c r="B7" t="s">
        <v>11</v>
      </c>
      <c r="D7" s="1">
        <v>0.2</v>
      </c>
      <c r="E7" s="1">
        <v>0.32</v>
      </c>
      <c r="F7" s="1">
        <v>0.192</v>
      </c>
      <c r="G7" s="1">
        <v>0.1152</v>
      </c>
      <c r="H7" s="1">
        <v>0.1152</v>
      </c>
    </row>
    <row r="8" spans="1:10" x14ac:dyDescent="0.25">
      <c r="B8" t="s">
        <v>12</v>
      </c>
      <c r="D8" s="3">
        <v>100000</v>
      </c>
      <c r="E8" s="3">
        <v>100000</v>
      </c>
      <c r="F8" s="3">
        <v>100000</v>
      </c>
      <c r="G8" s="3">
        <v>100000</v>
      </c>
      <c r="H8" s="3">
        <v>100000</v>
      </c>
    </row>
    <row r="9" spans="1:10" x14ac:dyDescent="0.25">
      <c r="B9" t="s">
        <v>13</v>
      </c>
      <c r="D9" s="1">
        <v>0.34</v>
      </c>
      <c r="E9" s="1">
        <v>0.34</v>
      </c>
      <c r="F9" s="1">
        <v>0.34</v>
      </c>
      <c r="G9" s="1">
        <v>0.34</v>
      </c>
      <c r="H9" s="1">
        <v>0.34</v>
      </c>
    </row>
    <row r="11" spans="1:10" x14ac:dyDescent="0.25">
      <c r="A11" t="s">
        <v>27</v>
      </c>
    </row>
    <row r="12" spans="1:10" x14ac:dyDescent="0.25">
      <c r="B12" t="s">
        <v>5</v>
      </c>
      <c r="D12" s="3">
        <v>5300</v>
      </c>
      <c r="E12" s="3">
        <v>8200</v>
      </c>
      <c r="F12" s="3">
        <v>12100</v>
      </c>
      <c r="G12" s="3">
        <v>10100</v>
      </c>
      <c r="H12" s="3">
        <v>6100</v>
      </c>
      <c r="J12" t="s">
        <v>29</v>
      </c>
    </row>
    <row r="13" spans="1:10" x14ac:dyDescent="0.25">
      <c r="B13" t="s">
        <v>6</v>
      </c>
      <c r="D13" s="2">
        <v>20</v>
      </c>
      <c r="E13" s="2">
        <f>D13*(1+0.03)</f>
        <v>20.6</v>
      </c>
      <c r="F13" s="2">
        <f t="shared" ref="F13:H13" si="0">E13*(1+0.03)</f>
        <v>21.218000000000004</v>
      </c>
      <c r="G13" s="2">
        <f t="shared" si="0"/>
        <v>21.854540000000004</v>
      </c>
      <c r="H13" s="2">
        <f t="shared" si="0"/>
        <v>22.510176200000004</v>
      </c>
      <c r="J13" t="s">
        <v>27</v>
      </c>
    </row>
    <row r="14" spans="1:10" x14ac:dyDescent="0.25">
      <c r="B14" t="s">
        <v>7</v>
      </c>
      <c r="D14" s="2">
        <v>9.1999999999999993</v>
      </c>
      <c r="E14" s="2">
        <f>D14*(1.1)</f>
        <v>10.119999999999999</v>
      </c>
      <c r="F14" s="2">
        <f t="shared" ref="F14:H14" si="1">E14*(1.1)</f>
        <v>11.132</v>
      </c>
      <c r="G14" s="2">
        <f t="shared" si="1"/>
        <v>12.245200000000001</v>
      </c>
      <c r="H14" s="2">
        <f t="shared" si="1"/>
        <v>13.469720000000002</v>
      </c>
      <c r="J14" t="s">
        <v>28</v>
      </c>
    </row>
    <row r="15" spans="1:10" x14ac:dyDescent="0.25">
      <c r="B15" t="s">
        <v>8</v>
      </c>
      <c r="D15" s="1">
        <v>0.04</v>
      </c>
      <c r="E15" s="1">
        <v>0.04</v>
      </c>
      <c r="F15" s="1">
        <v>0.04</v>
      </c>
      <c r="G15" s="1">
        <v>0.04</v>
      </c>
      <c r="H15" s="1">
        <v>0.04</v>
      </c>
    </row>
    <row r="16" spans="1:10" x14ac:dyDescent="0.25">
      <c r="B16" t="s">
        <v>9</v>
      </c>
      <c r="C16" s="3">
        <v>10000</v>
      </c>
      <c r="D16" s="3">
        <v>10000</v>
      </c>
      <c r="E16" s="3">
        <v>16320</v>
      </c>
      <c r="F16" s="3">
        <v>24969.600000000002</v>
      </c>
      <c r="G16" s="3">
        <v>21224.160000000003</v>
      </c>
      <c r="H16" s="3">
        <v>12989.185920000002</v>
      </c>
    </row>
    <row r="17" spans="1:8" x14ac:dyDescent="0.25">
      <c r="B17" t="s">
        <v>11</v>
      </c>
      <c r="D17" s="1">
        <v>0.2</v>
      </c>
      <c r="E17" s="1">
        <v>0.32</v>
      </c>
      <c r="F17" s="1">
        <v>0.192</v>
      </c>
      <c r="G17" s="1">
        <v>0.1152</v>
      </c>
      <c r="H17" s="1">
        <v>0.1152</v>
      </c>
    </row>
    <row r="18" spans="1:8" x14ac:dyDescent="0.25">
      <c r="B18" t="s">
        <v>12</v>
      </c>
      <c r="D18" s="3">
        <v>100000</v>
      </c>
      <c r="E18" s="3">
        <v>100000</v>
      </c>
      <c r="F18" s="3">
        <v>100000</v>
      </c>
      <c r="G18" s="3">
        <v>100000</v>
      </c>
      <c r="H18" s="3">
        <v>100000</v>
      </c>
    </row>
    <row r="19" spans="1:8" x14ac:dyDescent="0.25">
      <c r="B19" t="s">
        <v>13</v>
      </c>
      <c r="D19" s="1">
        <v>0.33</v>
      </c>
      <c r="E19" s="1">
        <v>0.33</v>
      </c>
      <c r="F19" s="1">
        <v>0.33</v>
      </c>
      <c r="G19" s="1">
        <v>0.33</v>
      </c>
      <c r="H19" s="1">
        <v>0.33</v>
      </c>
    </row>
    <row r="21" spans="1:8" x14ac:dyDescent="0.25">
      <c r="A21" t="s">
        <v>28</v>
      </c>
    </row>
    <row r="22" spans="1:8" x14ac:dyDescent="0.25">
      <c r="B22" t="s">
        <v>5</v>
      </c>
      <c r="D22" s="3">
        <v>4500</v>
      </c>
      <c r="E22" s="3">
        <v>7000</v>
      </c>
      <c r="F22" s="3">
        <v>11500</v>
      </c>
      <c r="G22" s="3">
        <v>9000</v>
      </c>
      <c r="H22" s="3">
        <v>5500</v>
      </c>
    </row>
    <row r="23" spans="1:8" x14ac:dyDescent="0.25">
      <c r="B23" t="s">
        <v>6</v>
      </c>
      <c r="D23" s="2">
        <v>20</v>
      </c>
      <c r="E23" s="2">
        <f>D23*(1+0.01)</f>
        <v>20.2</v>
      </c>
      <c r="F23" s="2">
        <f t="shared" ref="F23:H23" si="2">E23*(1+0.01)</f>
        <v>20.402000000000001</v>
      </c>
      <c r="G23" s="2">
        <f t="shared" si="2"/>
        <v>20.606020000000001</v>
      </c>
      <c r="H23" s="2">
        <f t="shared" si="2"/>
        <v>20.8120802</v>
      </c>
    </row>
    <row r="24" spans="1:8" x14ac:dyDescent="0.25">
      <c r="B24" t="s">
        <v>7</v>
      </c>
      <c r="D24" s="2">
        <v>11</v>
      </c>
      <c r="E24" s="2">
        <f>D24*(1.1)</f>
        <v>12.100000000000001</v>
      </c>
      <c r="F24" s="2">
        <f t="shared" ref="F24:H24" si="3">E24*(1.1)</f>
        <v>13.310000000000002</v>
      </c>
      <c r="G24" s="2">
        <f t="shared" si="3"/>
        <v>14.641000000000004</v>
      </c>
      <c r="H24" s="2">
        <f t="shared" si="3"/>
        <v>16.105100000000004</v>
      </c>
    </row>
    <row r="25" spans="1:8" x14ac:dyDescent="0.25">
      <c r="B25" t="s">
        <v>8</v>
      </c>
      <c r="D25" s="1">
        <v>0.06</v>
      </c>
      <c r="E25" s="1">
        <v>0.06</v>
      </c>
      <c r="F25" s="1">
        <v>0.06</v>
      </c>
      <c r="G25" s="1">
        <v>0.06</v>
      </c>
      <c r="H25" s="1">
        <v>0.06</v>
      </c>
    </row>
    <row r="26" spans="1:8" x14ac:dyDescent="0.25">
      <c r="B26" t="s">
        <v>9</v>
      </c>
      <c r="C26" s="3">
        <v>10000</v>
      </c>
      <c r="D26" s="3">
        <v>10000</v>
      </c>
      <c r="E26" s="3">
        <v>16320</v>
      </c>
      <c r="F26" s="3">
        <v>24969.600000000002</v>
      </c>
      <c r="G26" s="3">
        <v>21224.160000000003</v>
      </c>
      <c r="H26" s="3">
        <v>12989.185920000002</v>
      </c>
    </row>
    <row r="27" spans="1:8" x14ac:dyDescent="0.25">
      <c r="B27" t="s">
        <v>11</v>
      </c>
      <c r="D27" s="1">
        <v>0.2</v>
      </c>
      <c r="E27" s="1">
        <v>0.32</v>
      </c>
      <c r="F27" s="1">
        <v>0.192</v>
      </c>
      <c r="G27" s="1">
        <v>0.1152</v>
      </c>
      <c r="H27" s="1">
        <v>0.1152</v>
      </c>
    </row>
    <row r="28" spans="1:8" x14ac:dyDescent="0.25">
      <c r="B28" t="s">
        <v>12</v>
      </c>
      <c r="D28" s="3">
        <v>100000</v>
      </c>
      <c r="E28" s="3">
        <v>100000</v>
      </c>
      <c r="F28" s="3">
        <v>100000</v>
      </c>
      <c r="G28" s="3">
        <v>100000</v>
      </c>
      <c r="H28" s="3">
        <v>100000</v>
      </c>
    </row>
    <row r="29" spans="1:8" x14ac:dyDescent="0.25">
      <c r="B29" t="s">
        <v>13</v>
      </c>
      <c r="D29" s="1">
        <v>0.35</v>
      </c>
      <c r="E29" s="1">
        <v>0.35</v>
      </c>
      <c r="F29" s="1">
        <v>0.35</v>
      </c>
      <c r="G29" s="1">
        <v>0.35</v>
      </c>
      <c r="H29" s="1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ABDULMALIK AKRAM KAMAL SABRI</cp:lastModifiedBy>
  <dcterms:created xsi:type="dcterms:W3CDTF">2025-11-05T10:35:14Z</dcterms:created>
  <dcterms:modified xsi:type="dcterms:W3CDTF">2025-11-11T16:50:13Z</dcterms:modified>
</cp:coreProperties>
</file>